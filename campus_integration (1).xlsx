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ther computers\My Laptop\ISMF\Level 3 Semester 2\IS 3005 - Statistics in Practice\Group 2C Analysis\"/>
    </mc:Choice>
  </mc:AlternateContent>
  <xr:revisionPtr revIDLastSave="0" documentId="13_ncr:1_{31F126F6-7DC4-4776-AB09-EABCE9E88C17}" xr6:coauthVersionLast="47" xr6:coauthVersionMax="47" xr10:uidLastSave="{00000000-0000-0000-0000-000000000000}"/>
  <bookViews>
    <workbookView xWindow="-110" yWindow="-110" windowWidth="19420" windowHeight="11500" xr2:uid="{1B5C676E-84AE-4530-AE9C-9BE8D99EB11A}"/>
  </bookViews>
  <sheets>
    <sheet name="campus_integ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" i="1" l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</calcChain>
</file>

<file path=xl/sharedStrings.xml><?xml version="1.0" encoding="utf-8"?>
<sst xmlns="http://schemas.openxmlformats.org/spreadsheetml/2006/main" count="943" uniqueCount="82">
  <si>
    <t>Not at all</t>
  </si>
  <si>
    <t>NA</t>
  </si>
  <si>
    <t>Yes</t>
  </si>
  <si>
    <t>Agree</t>
  </si>
  <si>
    <t>Sometimes</t>
  </si>
  <si>
    <t>In a relationship</t>
  </si>
  <si>
    <t>10,000–20,000 LKR</t>
  </si>
  <si>
    <t>At home with family</t>
  </si>
  <si>
    <t>Female</t>
  </si>
  <si>
    <t>Moderately aware</t>
  </si>
  <si>
    <t>Not sure</t>
  </si>
  <si>
    <t>Single</t>
  </si>
  <si>
    <t>University hostel</t>
  </si>
  <si>
    <t>More than 10 hours</t>
  </si>
  <si>
    <t>No</t>
  </si>
  <si>
    <t>Never</t>
  </si>
  <si>
    <t>1-3 hours</t>
  </si>
  <si>
    <t>20,000–30,000 LKR</t>
  </si>
  <si>
    <t>Boarding / Private accommodation</t>
  </si>
  <si>
    <t>Neutral</t>
  </si>
  <si>
    <t>Strongly Agree</t>
  </si>
  <si>
    <t>Often</t>
  </si>
  <si>
    <t>Less than 10,000 LKR</t>
  </si>
  <si>
    <t>4-6 hours</t>
  </si>
  <si>
    <t>Male</t>
  </si>
  <si>
    <t>7-10 hours</t>
  </si>
  <si>
    <t>3 or more</t>
  </si>
  <si>
    <t>More than 30,000 LKR</t>
  </si>
  <si>
    <t>Strongly disagree</t>
  </si>
  <si>
    <t>Disagree</t>
  </si>
  <si>
    <t>Fully aware</t>
  </si>
  <si>
    <t>If you’ve used these services, how helpful were they in helping you connect with other students?</t>
  </si>
  <si>
    <t>awareness_supportservices</t>
  </si>
  <si>
    <t>imp_facilities</t>
  </si>
  <si>
    <t>imp_funding</t>
  </si>
  <si>
    <t>imp_stu_led_activities</t>
  </si>
  <si>
    <t>imp_variety_activities</t>
  </si>
  <si>
    <t>imp_advertising</t>
  </si>
  <si>
    <t>imp_events</t>
  </si>
  <si>
    <t>satisfied_activities</t>
  </si>
  <si>
    <t>pref_informal</t>
  </si>
  <si>
    <t>pref_religious</t>
  </si>
  <si>
    <t>pref_volunteer</t>
  </si>
  <si>
    <t>pref_musicdrama</t>
  </si>
  <si>
    <t>pref_academic_clubs</t>
  </si>
  <si>
    <t>pref_cultural</t>
  </si>
  <si>
    <t>pref_sports</t>
  </si>
  <si>
    <t>rel_encouragement</t>
  </si>
  <si>
    <t>rel_improves_integration</t>
  </si>
  <si>
    <t>rel_affects_time</t>
  </si>
  <si>
    <t>rel_psame_uni</t>
  </si>
  <si>
    <t>ci_feel_included</t>
  </si>
  <si>
    <t>ci_friendships</t>
  </si>
  <si>
    <t>ci_staff_support</t>
  </si>
  <si>
    <t>ci_peer_support</t>
  </si>
  <si>
    <t>ci_group_participation</t>
  </si>
  <si>
    <t>ci_comfort_peers</t>
  </si>
  <si>
    <t>ci_belonging</t>
  </si>
  <si>
    <t>barr_family</t>
  </si>
  <si>
    <t>barr_shy</t>
  </si>
  <si>
    <t>barr_didntknow</t>
  </si>
  <si>
    <t>barr_notinterested</t>
  </si>
  <si>
    <t>barr_economic</t>
  </si>
  <si>
    <t>barr_academics</t>
  </si>
  <si>
    <t>barr_time</t>
  </si>
  <si>
    <t>moti_other</t>
  </si>
  <si>
    <t>moti_friendsinfluence</t>
  </si>
  <si>
    <t>moti_cv</t>
  </si>
  <si>
    <t>moti_fun</t>
  </si>
  <si>
    <t>moti_skills</t>
  </si>
  <si>
    <t>moti_makefriends</t>
  </si>
  <si>
    <t>event_frequency</t>
  </si>
  <si>
    <t>hours_sports</t>
  </si>
  <si>
    <t>no_sports</t>
  </si>
  <si>
    <t>hours_clubs</t>
  </si>
  <si>
    <t>no_clubs</t>
  </si>
  <si>
    <t>relationship_status</t>
  </si>
  <si>
    <t>monthly_allowance</t>
  </si>
  <si>
    <t>residence_type</t>
  </si>
  <si>
    <t>gender</t>
  </si>
  <si>
    <t>age</t>
  </si>
  <si>
    <t>campus_integration_score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</si>
</sst>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6" borderId="0" xfId="0" applyFill="1"/>
    <xf numFmtId="0" fontId="1" fillId="7" borderId="0" xfId="0" applyFont="1" applyFill="1" applyAlignment="1">
      <alignment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2" defaultPivotStyle="PivotStyleLight16">
    <tableStyle name="Form Responses 1-style" pivot="0" count="4" xr9:uid="{5D463BF0-51A1-4D02-80D1-B1D964B0B96C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Invisible" pivot="0" table="0" count="0" xr9:uid="{AA24F247-AF8A-4888-A526-E2A26010E9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29E96-C170-4EAB-96E9-E59573A1862A}" name="Form_Responses34" displayName="Form_Responses34" ref="A1:AY58">
  <tableColumns count="51">
    <tableColumn id="2" xr3:uid="{3B935E25-07D7-4A4E-B1F3-D5E30D8FCF7E}" name="age"/>
    <tableColumn id="3" xr3:uid="{8B2B88A0-5B25-49E2-92BD-052A807ED3F3}" name="gender"/>
    <tableColumn id="5" xr3:uid="{33EC7FFA-D631-45B0-9FB2-88A614FA46C6}" name="residence_type"/>
    <tableColumn id="6" xr3:uid="{9E43824B-B161-45A8-A3CC-575C24B38F31}" name="monthly_allowance"/>
    <tableColumn id="7" xr3:uid="{F0CC69FD-C19C-402A-B877-0ACFE9C25A6B}" name="relationship_status"/>
    <tableColumn id="8" xr3:uid="{A7A892ED-40CC-4A72-B33F-7E5D14FE6874}" name="no_clubs"/>
    <tableColumn id="9" xr3:uid="{7B248427-D85E-4164-B02B-042C24104062}" name="hours_clubs"/>
    <tableColumn id="1" xr3:uid="{5A9D6785-4D91-4151-AD2F-1045198CCB93}" name="no_sports" dataDxfId="28"/>
    <tableColumn id="4" xr3:uid="{50DDE2B7-E004-4D95-8FF6-AD98F34B8911}" name="hours_sports" dataDxfId="27"/>
    <tableColumn id="10" xr3:uid="{96085F92-DC90-4129-927C-B0372BC21831}" name="event_frequency"/>
    <tableColumn id="50" xr3:uid="{05E604DB-E755-4464-8C8D-F9BEC9E8F18B}" name="moti_makefriends" dataDxfId="26"/>
    <tableColumn id="49" xr3:uid="{E63297F2-F904-4FE8-9E72-FD789472688F}" name="moti_skills" dataDxfId="25"/>
    <tableColumn id="48" xr3:uid="{0FB0473E-1DDE-4801-BB80-A8337B175099}" name="moti_fun" dataDxfId="24"/>
    <tableColumn id="47" xr3:uid="{C1740510-1B8F-436D-A151-24A75EBFF843}" name="moti_cv" dataDxfId="23"/>
    <tableColumn id="46" xr3:uid="{6E16294B-65DE-4C87-A7E5-48DBB483D805}" name="moti_friendsinfluence" dataDxfId="22"/>
    <tableColumn id="59" xr3:uid="{EA1D62D6-14DF-4627-B907-30E04A08D169}" name="moti_other" dataDxfId="21"/>
    <tableColumn id="55" xr3:uid="{EBE19D81-A33D-40D9-8C70-6B57129844D8}" name="barr_time" dataDxfId="20"/>
    <tableColumn id="54" xr3:uid="{A99152D5-1993-474A-97C9-F8A5E6FDA567}" name="barr_academics" dataDxfId="19"/>
    <tableColumn id="58" xr3:uid="{B8D695D0-9425-4C88-A786-AFB51923BB22}" name="barr_economic" dataDxfId="18"/>
    <tableColumn id="57" xr3:uid="{549FDAFA-21E5-4070-ACD3-AF6790381852}" name="barr_notinterested" dataDxfId="17"/>
    <tableColumn id="56" xr3:uid="{7DC76EA3-BEC1-4D62-A440-64BEFD7642CC}" name="barr_didntknow" dataDxfId="16"/>
    <tableColumn id="53" xr3:uid="{C09436D8-A877-4527-BD1E-7256AACB1C3C}" name="barr_shy" dataDxfId="15"/>
    <tableColumn id="52" xr3:uid="{FE7D9987-D14B-4030-B3E7-BC161EFA22CD}" name="barr_family" dataDxfId="14"/>
    <tableColumn id="13" xr3:uid="{7F333047-C413-48A6-8D78-70372424CBBA}" name="ci_belonging"/>
    <tableColumn id="14" xr3:uid="{84B9B89A-64D0-4E2D-ADBF-376EFFFC9B63}" name="ci_comfort_peers"/>
    <tableColumn id="15" xr3:uid="{C6B52CFC-5E85-49DF-A147-C4B0A3EFBCC4}" name="ci_group_participation"/>
    <tableColumn id="16" xr3:uid="{1DD80B60-212B-4F7B-A1A7-22A67ECF2990}" name="ci_peer_support"/>
    <tableColumn id="17" xr3:uid="{6311D7A8-A6AD-4D39-9B63-8995554A67B8}" name="ci_staff_support"/>
    <tableColumn id="18" xr3:uid="{30398F26-C6EA-4636-9A72-80FDD84A26B1}" name="ci_friendships"/>
    <tableColumn id="19" xr3:uid="{4BB9A671-ECF7-404C-B3D7-EF27454410AF}" name="ci_feel_included"/>
    <tableColumn id="20" xr3:uid="{8B3CCD68-664E-44B4-BD39-32DC5A612FD8}" name="rel_psame_uni"/>
    <tableColumn id="21" xr3:uid="{E44FC112-3D24-4040-977F-EDAD2D6EF989}" name="rel_affects_time"/>
    <tableColumn id="22" xr3:uid="{E5676707-90B6-4FFA-A158-11DB42E829C5}" name="rel_improves_integration"/>
    <tableColumn id="23" xr3:uid="{73B3F951-5534-4B40-8328-AC37979369E2}" name="rel_encouragement"/>
    <tableColumn id="31" xr3:uid="{01FA6239-3986-4EED-8E79-604DCCBA97EE}" name="pref_sports" dataDxfId="13"/>
    <tableColumn id="32" xr3:uid="{4C6FF1FA-018E-4E66-95EA-8CCABCC80661}" name="pref_cultural" dataDxfId="12"/>
    <tableColumn id="33" xr3:uid="{F16AD56E-D2C6-4220-AEC4-9608D242E234}" name="pref_academic_clubs" dataDxfId="11"/>
    <tableColumn id="34" xr3:uid="{E87D9882-C217-4DBF-B18A-899DF9F0CD98}" name="pref_musicdrama" dataDxfId="10"/>
    <tableColumn id="36" xr3:uid="{1FB9F056-02F9-4C40-840F-5AA1F2F05597}" name="pref_volunteer" dataDxfId="9"/>
    <tableColumn id="35" xr3:uid="{552A7C2B-8CC6-4961-8B31-F275C9AB8688}" name="pref_religious" dataDxfId="8"/>
    <tableColumn id="37" xr3:uid="{8B3F7817-B004-4C38-BA1C-05C9A94ADDCD}" name="pref_informal" dataDxfId="7"/>
    <tableColumn id="25" xr3:uid="{3EDE657E-63B9-4111-A63B-6D1815975833}" name="satisfied_activities"/>
    <tableColumn id="44" xr3:uid="{8A74CD51-0E36-4A71-BC01-8D313978D555}" name="imp_events" dataDxfId="6"/>
    <tableColumn id="43" xr3:uid="{4DF59183-5DE0-46AE-8836-9B2F4A68D928}" name="imp_advertising" dataDxfId="5"/>
    <tableColumn id="42" xr3:uid="{AF98BB7E-0597-407C-A31C-E466A5D836A4}" name="imp_variety_activities" dataDxfId="4"/>
    <tableColumn id="41" xr3:uid="{91DDA225-F74E-4F9F-A79C-ACE05579C5E8}" name="imp_stu_led_activities" dataDxfId="3"/>
    <tableColumn id="40" xr3:uid="{DA91B062-38CF-493A-ABAF-A44A4401C2A7}" name="imp_funding" dataDxfId="2"/>
    <tableColumn id="39" xr3:uid="{76693A7F-D734-41F6-AF5C-2FDEEC94DD5C}" name="imp_facilities" dataDxfId="1"/>
    <tableColumn id="27" xr3:uid="{8321E3B9-6E31-423D-9BF2-D5BB10189D67}" name="awareness_supportservices"/>
    <tableColumn id="28" xr3:uid="{FA92D9E9-FB83-40B6-BA23-EF626F41CDA3}" name="If you’ve used these services, how helpful were they in helping you connect with other students?"/>
    <tableColumn id="11" xr3:uid="{82F2E300-6013-4A8E-8482-EE262C98E363}" name="campus_integration_score" dataDxfId="0">
      <calculatedColumnFormula>AVERAGE(Form_Responses34[[#This Row],[ci_belonging]:[ci_feel_included]])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F931-75CE-4BFB-A496-94ECEA3E33C7}">
  <sheetPr>
    <outlinePr summaryBelow="0" summaryRight="0"/>
  </sheetPr>
  <dimension ref="A1:AY58"/>
  <sheetViews>
    <sheetView tabSelected="1" workbookViewId="0">
      <pane ySplit="1" topLeftCell="A45" activePane="bottomLeft" state="frozen"/>
      <selection pane="bottomLeft" activeCell="BA48" sqref="BA48"/>
    </sheetView>
  </sheetViews>
  <sheetFormatPr defaultColWidth="13.8984375" defaultRowHeight="15.75" customHeight="1" x14ac:dyDescent="0.3"/>
  <cols>
    <col min="1" max="1" width="4.3984375" bestFit="1" customWidth="1"/>
    <col min="2" max="2" width="8.09765625" customWidth="1"/>
    <col min="3" max="3" width="15.3984375" customWidth="1"/>
    <col min="4" max="4" width="18.69921875" customWidth="1"/>
    <col min="5" max="5" width="12.5" customWidth="1"/>
    <col min="6" max="6" width="9.5" bestFit="1" customWidth="1"/>
    <col min="7" max="7" width="12" customWidth="1"/>
    <col min="8" max="8" width="9.59765625" bestFit="1" customWidth="1"/>
    <col min="9" max="9" width="15.3984375" customWidth="1"/>
    <col min="10" max="10" width="11.69921875" bestFit="1" customWidth="1"/>
    <col min="11" max="16" width="11.69921875" customWidth="1"/>
    <col min="17" max="17" width="9.19921875" bestFit="1" customWidth="1"/>
    <col min="18" max="19" width="8.5" bestFit="1" customWidth="1"/>
    <col min="20" max="22" width="8.5" customWidth="1"/>
    <col min="23" max="23" width="8.5" bestFit="1" customWidth="1"/>
    <col min="24" max="24" width="7.8984375" customWidth="1"/>
    <col min="25" max="25" width="11.69921875" customWidth="1"/>
    <col min="26" max="26" width="10.796875" customWidth="1"/>
    <col min="27" max="27" width="9.3984375" customWidth="1"/>
    <col min="28" max="28" width="7.8984375" customWidth="1"/>
    <col min="29" max="30" width="8.59765625" customWidth="1"/>
    <col min="31" max="31" width="12.796875" bestFit="1" customWidth="1"/>
    <col min="32" max="32" width="14.8984375" bestFit="1" customWidth="1"/>
    <col min="33" max="33" width="13.59765625" bestFit="1" customWidth="1"/>
    <col min="34" max="34" width="9" customWidth="1"/>
    <col min="35" max="36" width="7.3984375" customWidth="1"/>
    <col min="37" max="37" width="6.796875" customWidth="1"/>
    <col min="38" max="38" width="7.59765625" customWidth="1"/>
    <col min="39" max="39" width="7.09765625" customWidth="1"/>
    <col min="40" max="40" width="6.59765625" customWidth="1"/>
    <col min="41" max="41" width="7.8984375" customWidth="1"/>
    <col min="42" max="42" width="8.59765625" customWidth="1"/>
    <col min="43" max="43" width="6.59765625" customWidth="1"/>
    <col min="44" max="44" width="7" customWidth="1"/>
    <col min="45" max="45" width="5.3984375" customWidth="1"/>
    <col min="46" max="46" width="7.09765625" customWidth="1"/>
    <col min="47" max="47" width="6.59765625" customWidth="1"/>
    <col min="48" max="48" width="6.8984375" customWidth="1"/>
    <col min="49" max="49" width="11.296875" customWidth="1"/>
    <col min="50" max="50" width="10" customWidth="1"/>
    <col min="51" max="51" width="23.296875" bestFit="1" customWidth="1"/>
    <col min="52" max="52" width="14.19921875" customWidth="1"/>
    <col min="53" max="53" width="8.19921875" customWidth="1"/>
  </cols>
  <sheetData>
    <row r="1" spans="1:51" ht="22.5" customHeight="1" x14ac:dyDescent="0.3">
      <c r="A1" s="2" t="s">
        <v>80</v>
      </c>
      <c r="B1" s="2" t="s">
        <v>79</v>
      </c>
      <c r="C1" s="2" t="s">
        <v>78</v>
      </c>
      <c r="D1" s="2" t="s">
        <v>77</v>
      </c>
      <c r="E1" s="2" t="s">
        <v>76</v>
      </c>
      <c r="F1" s="2" t="s">
        <v>75</v>
      </c>
      <c r="G1" s="2" t="s">
        <v>74</v>
      </c>
      <c r="H1" s="2" t="s">
        <v>73</v>
      </c>
      <c r="I1" s="2" t="s">
        <v>72</v>
      </c>
      <c r="J1" s="2" t="s">
        <v>71</v>
      </c>
      <c r="K1" s="6" t="s">
        <v>70</v>
      </c>
      <c r="L1" s="6" t="s">
        <v>69</v>
      </c>
      <c r="M1" s="6" t="s">
        <v>68</v>
      </c>
      <c r="N1" s="6" t="s">
        <v>67</v>
      </c>
      <c r="O1" s="6" t="s">
        <v>66</v>
      </c>
      <c r="P1" s="6" t="s">
        <v>65</v>
      </c>
      <c r="Q1" s="4" t="s">
        <v>64</v>
      </c>
      <c r="R1" s="4" t="s">
        <v>63</v>
      </c>
      <c r="S1" s="4" t="s">
        <v>62</v>
      </c>
      <c r="T1" s="4" t="s">
        <v>61</v>
      </c>
      <c r="U1" s="4" t="s">
        <v>60</v>
      </c>
      <c r="V1" s="4" t="s">
        <v>59</v>
      </c>
      <c r="W1" s="4" t="s">
        <v>58</v>
      </c>
      <c r="X1" s="2" t="s">
        <v>57</v>
      </c>
      <c r="Y1" s="2" t="s">
        <v>56</v>
      </c>
      <c r="Z1" s="2" t="s">
        <v>55</v>
      </c>
      <c r="AA1" s="2" t="s">
        <v>54</v>
      </c>
      <c r="AB1" s="2" t="s">
        <v>53</v>
      </c>
      <c r="AC1" s="2" t="s">
        <v>52</v>
      </c>
      <c r="AD1" s="2" t="s">
        <v>51</v>
      </c>
      <c r="AE1" s="2" t="s">
        <v>50</v>
      </c>
      <c r="AF1" s="2" t="s">
        <v>49</v>
      </c>
      <c r="AG1" s="2" t="s">
        <v>48</v>
      </c>
      <c r="AH1" s="2" t="s">
        <v>47</v>
      </c>
      <c r="AI1" s="5" t="s">
        <v>46</v>
      </c>
      <c r="AJ1" s="5" t="s">
        <v>45</v>
      </c>
      <c r="AK1" s="5" t="s">
        <v>44</v>
      </c>
      <c r="AL1" s="5" t="s">
        <v>43</v>
      </c>
      <c r="AM1" s="5" t="s">
        <v>42</v>
      </c>
      <c r="AN1" s="5" t="s">
        <v>41</v>
      </c>
      <c r="AO1" s="5" t="s">
        <v>40</v>
      </c>
      <c r="AP1" s="2" t="s">
        <v>39</v>
      </c>
      <c r="AQ1" s="3" t="s">
        <v>38</v>
      </c>
      <c r="AR1" s="3" t="s">
        <v>37</v>
      </c>
      <c r="AS1" s="3" t="s">
        <v>36</v>
      </c>
      <c r="AT1" s="3" t="s">
        <v>35</v>
      </c>
      <c r="AU1" s="3" t="s">
        <v>34</v>
      </c>
      <c r="AV1" s="3" t="s">
        <v>33</v>
      </c>
      <c r="AW1" s="2" t="s">
        <v>32</v>
      </c>
      <c r="AX1" s="7" t="s">
        <v>31</v>
      </c>
      <c r="AY1" s="8" t="s">
        <v>81</v>
      </c>
    </row>
    <row r="2" spans="1:51" ht="22.5" customHeight="1" x14ac:dyDescent="0.3">
      <c r="A2" s="1">
        <v>22</v>
      </c>
      <c r="B2" s="1" t="s">
        <v>24</v>
      </c>
      <c r="C2" s="1" t="s">
        <v>7</v>
      </c>
      <c r="D2" s="1" t="s">
        <v>22</v>
      </c>
      <c r="E2" s="1" t="s">
        <v>5</v>
      </c>
      <c r="F2" s="1">
        <v>1</v>
      </c>
      <c r="G2" s="1" t="s">
        <v>23</v>
      </c>
      <c r="H2" s="1">
        <v>0</v>
      </c>
      <c r="I2" s="1">
        <v>0</v>
      </c>
      <c r="J2" s="1" t="s">
        <v>4</v>
      </c>
      <c r="K2" s="1">
        <v>0</v>
      </c>
      <c r="L2" s="1">
        <v>0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1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5</v>
      </c>
      <c r="Y2" s="1">
        <v>5</v>
      </c>
      <c r="Z2" s="1">
        <v>3</v>
      </c>
      <c r="AA2" s="1">
        <v>5</v>
      </c>
      <c r="AB2" s="1">
        <v>5</v>
      </c>
      <c r="AC2" s="1">
        <v>5</v>
      </c>
      <c r="AD2" s="1">
        <v>3</v>
      </c>
      <c r="AE2" s="1" t="s">
        <v>14</v>
      </c>
      <c r="AF2" s="1" t="s">
        <v>19</v>
      </c>
      <c r="AG2" s="1" t="s">
        <v>19</v>
      </c>
      <c r="AH2" s="1" t="s">
        <v>3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0</v>
      </c>
      <c r="AO2" s="1">
        <v>1</v>
      </c>
      <c r="AP2" s="1" t="s">
        <v>2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0</v>
      </c>
      <c r="AX2" s="1">
        <v>3</v>
      </c>
      <c r="AY2" s="1">
        <f>AVERAGE(Form_Responses34[[#This Row],[ci_belonging]:[ci_feel_included]])</f>
        <v>4.4285714285714288</v>
      </c>
    </row>
    <row r="3" spans="1:51" ht="22.5" customHeight="1" x14ac:dyDescent="0.3">
      <c r="A3" s="1">
        <v>21</v>
      </c>
      <c r="B3" s="1" t="s">
        <v>24</v>
      </c>
      <c r="C3" s="1" t="s">
        <v>18</v>
      </c>
      <c r="D3" s="1" t="s">
        <v>27</v>
      </c>
      <c r="E3" s="1" t="s">
        <v>11</v>
      </c>
      <c r="F3" s="1">
        <v>1</v>
      </c>
      <c r="G3" s="1" t="s">
        <v>16</v>
      </c>
      <c r="H3" s="1">
        <v>1</v>
      </c>
      <c r="I3" s="1" t="s">
        <v>16</v>
      </c>
      <c r="J3" s="1" t="s">
        <v>21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1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3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3</v>
      </c>
      <c r="AE3" t="s">
        <v>1</v>
      </c>
      <c r="AF3" t="s">
        <v>1</v>
      </c>
      <c r="AG3" t="s">
        <v>1</v>
      </c>
      <c r="AH3" t="s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 s="1" t="s">
        <v>2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0</v>
      </c>
      <c r="AX3" s="1">
        <v>3</v>
      </c>
      <c r="AY3" s="1">
        <f>AVERAGE(Form_Responses34[[#This Row],[ci_belonging]:[ci_feel_included]])</f>
        <v>3.7142857142857144</v>
      </c>
    </row>
    <row r="4" spans="1:51" ht="22.5" customHeight="1" x14ac:dyDescent="0.3">
      <c r="A4" s="1">
        <v>22</v>
      </c>
      <c r="B4" s="1" t="s">
        <v>8</v>
      </c>
      <c r="C4" s="1" t="s">
        <v>7</v>
      </c>
      <c r="D4" s="1" t="s">
        <v>17</v>
      </c>
      <c r="E4" s="1" t="s">
        <v>5</v>
      </c>
      <c r="F4" s="1" t="s">
        <v>26</v>
      </c>
      <c r="G4" s="1" t="s">
        <v>25</v>
      </c>
      <c r="H4" s="1">
        <v>0</v>
      </c>
      <c r="I4" s="1" t="s">
        <v>25</v>
      </c>
      <c r="J4" s="1" t="s">
        <v>4</v>
      </c>
      <c r="K4" s="1">
        <v>1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3</v>
      </c>
      <c r="Y4" s="1">
        <v>4</v>
      </c>
      <c r="Z4" s="1">
        <v>4</v>
      </c>
      <c r="AA4" s="1">
        <v>3</v>
      </c>
      <c r="AB4" s="1">
        <v>4</v>
      </c>
      <c r="AC4" s="1">
        <v>3</v>
      </c>
      <c r="AD4" s="1">
        <v>3</v>
      </c>
      <c r="AE4" s="1" t="s">
        <v>2</v>
      </c>
      <c r="AF4" s="1" t="s">
        <v>29</v>
      </c>
      <c r="AG4" s="1" t="s">
        <v>3</v>
      </c>
      <c r="AH4" s="1" t="s">
        <v>3</v>
      </c>
      <c r="AI4" s="1">
        <v>0</v>
      </c>
      <c r="AJ4" s="1">
        <v>1</v>
      </c>
      <c r="AK4" s="1">
        <v>0</v>
      </c>
      <c r="AL4" s="1">
        <v>1</v>
      </c>
      <c r="AM4" s="1">
        <v>0</v>
      </c>
      <c r="AN4" s="1">
        <v>0</v>
      </c>
      <c r="AO4" s="1">
        <v>1</v>
      </c>
      <c r="AP4" s="1" t="s">
        <v>14</v>
      </c>
      <c r="AQ4" s="1">
        <v>1</v>
      </c>
      <c r="AR4" s="1">
        <v>1</v>
      </c>
      <c r="AS4" s="1">
        <v>1</v>
      </c>
      <c r="AT4" s="1">
        <v>0</v>
      </c>
      <c r="AU4" s="1">
        <v>0</v>
      </c>
      <c r="AV4" s="1">
        <v>0</v>
      </c>
      <c r="AW4" s="1" t="s">
        <v>9</v>
      </c>
      <c r="AY4" s="1">
        <f>AVERAGE(Form_Responses34[[#This Row],[ci_belonging]:[ci_feel_included]])</f>
        <v>3.4285714285714284</v>
      </c>
    </row>
    <row r="5" spans="1:51" ht="22.5" customHeight="1" x14ac:dyDescent="0.3">
      <c r="A5" s="1">
        <v>21</v>
      </c>
      <c r="B5" s="1" t="s">
        <v>24</v>
      </c>
      <c r="C5" s="1" t="s">
        <v>18</v>
      </c>
      <c r="D5" s="1" t="s">
        <v>17</v>
      </c>
      <c r="E5" s="1" t="s">
        <v>5</v>
      </c>
      <c r="F5" s="1">
        <v>1</v>
      </c>
      <c r="G5" s="1" t="s">
        <v>16</v>
      </c>
      <c r="H5" s="1">
        <v>1</v>
      </c>
      <c r="I5" s="1" t="s">
        <v>25</v>
      </c>
      <c r="J5" s="1" t="s">
        <v>21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</v>
      </c>
      <c r="Y5" s="1">
        <v>5</v>
      </c>
      <c r="Z5" s="1">
        <v>5</v>
      </c>
      <c r="AA5" s="1">
        <v>5</v>
      </c>
      <c r="AB5" s="1">
        <v>5</v>
      </c>
      <c r="AC5" s="1">
        <v>5</v>
      </c>
      <c r="AD5" s="1">
        <v>5</v>
      </c>
      <c r="AE5" s="1" t="s">
        <v>2</v>
      </c>
      <c r="AF5" s="1" t="s">
        <v>28</v>
      </c>
      <c r="AG5" s="1" t="s">
        <v>20</v>
      </c>
      <c r="AH5" s="1" t="s">
        <v>3</v>
      </c>
      <c r="AI5" s="1">
        <v>1</v>
      </c>
      <c r="AJ5" s="1">
        <v>0</v>
      </c>
      <c r="AK5" s="1">
        <v>1</v>
      </c>
      <c r="AL5" s="1">
        <v>1</v>
      </c>
      <c r="AM5" s="1">
        <v>0</v>
      </c>
      <c r="AN5" s="1">
        <v>0</v>
      </c>
      <c r="AO5" s="1">
        <v>0</v>
      </c>
      <c r="AP5" s="1" t="s">
        <v>2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9</v>
      </c>
      <c r="AX5" s="1">
        <v>4</v>
      </c>
      <c r="AY5" s="1">
        <f>AVERAGE(Form_Responses34[[#This Row],[ci_belonging]:[ci_feel_included]])</f>
        <v>4.7142857142857144</v>
      </c>
    </row>
    <row r="6" spans="1:51" ht="22.5" customHeight="1" x14ac:dyDescent="0.3">
      <c r="A6" s="1">
        <v>24</v>
      </c>
      <c r="B6" s="1" t="s">
        <v>24</v>
      </c>
      <c r="C6" s="1" t="s">
        <v>18</v>
      </c>
      <c r="D6" s="1" t="s">
        <v>27</v>
      </c>
      <c r="E6" s="1" t="s">
        <v>11</v>
      </c>
      <c r="F6" s="1">
        <v>2</v>
      </c>
      <c r="G6" s="1" t="s">
        <v>16</v>
      </c>
      <c r="H6" s="1">
        <v>0</v>
      </c>
      <c r="I6" s="1">
        <v>0</v>
      </c>
      <c r="J6" s="1" t="s">
        <v>4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5</v>
      </c>
      <c r="Y6" s="1">
        <v>4</v>
      </c>
      <c r="Z6" s="1">
        <v>3</v>
      </c>
      <c r="AA6" s="1">
        <v>4</v>
      </c>
      <c r="AB6" s="1">
        <v>5</v>
      </c>
      <c r="AC6" s="1">
        <v>5</v>
      </c>
      <c r="AD6" s="1">
        <v>5</v>
      </c>
      <c r="AE6" t="s">
        <v>1</v>
      </c>
      <c r="AF6" t="s">
        <v>1</v>
      </c>
      <c r="AG6" t="s">
        <v>1</v>
      </c>
      <c r="AH6" t="s">
        <v>1</v>
      </c>
      <c r="AI6">
        <v>0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 s="1" t="s">
        <v>14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 t="s">
        <v>9</v>
      </c>
      <c r="AY6" s="1">
        <f>AVERAGE(Form_Responses34[[#This Row],[ci_belonging]:[ci_feel_included]])</f>
        <v>4.4285714285714288</v>
      </c>
    </row>
    <row r="7" spans="1:51" ht="22.5" customHeight="1" x14ac:dyDescent="0.3">
      <c r="A7" s="1">
        <v>22</v>
      </c>
      <c r="B7" s="1" t="s">
        <v>8</v>
      </c>
      <c r="C7" s="1" t="s">
        <v>7</v>
      </c>
      <c r="D7" s="1" t="s">
        <v>17</v>
      </c>
      <c r="E7" s="1" t="s">
        <v>11</v>
      </c>
      <c r="F7" s="1">
        <v>2</v>
      </c>
      <c r="G7" s="1" t="s">
        <v>25</v>
      </c>
      <c r="H7" s="1">
        <v>0</v>
      </c>
      <c r="I7" s="1" t="s">
        <v>23</v>
      </c>
      <c r="J7" s="1" t="s">
        <v>21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0</v>
      </c>
      <c r="Q7" s="1">
        <v>1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3</v>
      </c>
      <c r="Y7" s="1">
        <v>2</v>
      </c>
      <c r="Z7" s="1">
        <v>4</v>
      </c>
      <c r="AA7" s="1">
        <v>3</v>
      </c>
      <c r="AB7" s="1">
        <v>3</v>
      </c>
      <c r="AC7" s="1">
        <v>4</v>
      </c>
      <c r="AD7" s="1">
        <v>4</v>
      </c>
      <c r="AE7" t="s">
        <v>1</v>
      </c>
      <c r="AF7" t="s">
        <v>1</v>
      </c>
      <c r="AG7" t="s">
        <v>1</v>
      </c>
      <c r="AH7" t="s">
        <v>1</v>
      </c>
      <c r="AI7">
        <v>0</v>
      </c>
      <c r="AJ7">
        <v>1</v>
      </c>
      <c r="AK7">
        <v>0</v>
      </c>
      <c r="AL7">
        <v>1</v>
      </c>
      <c r="AM7">
        <v>1</v>
      </c>
      <c r="AN7">
        <v>0</v>
      </c>
      <c r="AO7">
        <v>1</v>
      </c>
      <c r="AP7" s="1" t="s">
        <v>14</v>
      </c>
      <c r="AQ7" s="1">
        <v>1</v>
      </c>
      <c r="AR7" s="1">
        <v>1</v>
      </c>
      <c r="AS7" s="1">
        <v>1</v>
      </c>
      <c r="AT7" s="1">
        <v>1</v>
      </c>
      <c r="AU7" s="1">
        <v>0</v>
      </c>
      <c r="AV7" s="1">
        <v>1</v>
      </c>
      <c r="AW7" s="1" t="s">
        <v>0</v>
      </c>
      <c r="AY7" s="1">
        <f>AVERAGE(Form_Responses34[[#This Row],[ci_belonging]:[ci_feel_included]])</f>
        <v>3.2857142857142856</v>
      </c>
    </row>
    <row r="8" spans="1:51" ht="22.5" customHeight="1" x14ac:dyDescent="0.3">
      <c r="A8" s="1">
        <v>22</v>
      </c>
      <c r="B8" s="1" t="s">
        <v>24</v>
      </c>
      <c r="C8" s="1" t="s">
        <v>7</v>
      </c>
      <c r="D8" s="1" t="s">
        <v>22</v>
      </c>
      <c r="E8" s="1" t="s">
        <v>11</v>
      </c>
      <c r="F8" s="1">
        <v>0</v>
      </c>
      <c r="G8" s="1">
        <v>0</v>
      </c>
      <c r="H8" s="1">
        <v>0</v>
      </c>
      <c r="I8" s="1">
        <v>0</v>
      </c>
      <c r="J8" s="1" t="s">
        <v>4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3</v>
      </c>
      <c r="Y8" s="1">
        <v>4</v>
      </c>
      <c r="Z8" s="1">
        <v>3</v>
      </c>
      <c r="AA8" s="1">
        <v>4</v>
      </c>
      <c r="AB8" s="1">
        <v>4</v>
      </c>
      <c r="AC8" s="1">
        <v>3</v>
      </c>
      <c r="AD8" s="1">
        <v>2</v>
      </c>
      <c r="AE8" t="s">
        <v>1</v>
      </c>
      <c r="AF8" t="s">
        <v>1</v>
      </c>
      <c r="AG8" t="s">
        <v>1</v>
      </c>
      <c r="AH8" t="s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 s="1" t="s">
        <v>2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W8" s="1" t="s">
        <v>30</v>
      </c>
      <c r="AY8" s="1">
        <f>AVERAGE(Form_Responses34[[#This Row],[ci_belonging]:[ci_feel_included]])</f>
        <v>3.2857142857142856</v>
      </c>
    </row>
    <row r="9" spans="1:51" ht="22.5" customHeight="1" x14ac:dyDescent="0.3">
      <c r="A9" s="1">
        <v>21</v>
      </c>
      <c r="B9" s="1" t="s">
        <v>8</v>
      </c>
      <c r="C9" s="1" t="s">
        <v>7</v>
      </c>
      <c r="D9" s="1" t="s">
        <v>6</v>
      </c>
      <c r="E9" s="1" t="s">
        <v>11</v>
      </c>
      <c r="F9" s="1">
        <v>2</v>
      </c>
      <c r="G9" s="1" t="s">
        <v>23</v>
      </c>
      <c r="H9" s="1">
        <v>0</v>
      </c>
      <c r="I9" s="1">
        <v>0</v>
      </c>
      <c r="J9" s="1" t="s">
        <v>4</v>
      </c>
      <c r="K9" s="1">
        <v>0</v>
      </c>
      <c r="L9" s="1">
        <v>0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3</v>
      </c>
      <c r="Y9" s="1">
        <v>3</v>
      </c>
      <c r="Z9" s="1">
        <v>3</v>
      </c>
      <c r="AA9" s="1">
        <v>3</v>
      </c>
      <c r="AB9" s="1">
        <v>3</v>
      </c>
      <c r="AC9" s="1">
        <v>2</v>
      </c>
      <c r="AD9" s="1">
        <v>2</v>
      </c>
      <c r="AE9" t="s">
        <v>1</v>
      </c>
      <c r="AF9" t="s">
        <v>1</v>
      </c>
      <c r="AG9" t="s">
        <v>1</v>
      </c>
      <c r="AH9" t="s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 s="1" t="s">
        <v>10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 t="s">
        <v>9</v>
      </c>
      <c r="AX9" s="1">
        <v>3</v>
      </c>
      <c r="AY9" s="1">
        <f>AVERAGE(Form_Responses34[[#This Row],[ci_belonging]:[ci_feel_included]])</f>
        <v>2.7142857142857144</v>
      </c>
    </row>
    <row r="10" spans="1:51" ht="22.5" customHeight="1" x14ac:dyDescent="0.3">
      <c r="A10" s="1">
        <v>23</v>
      </c>
      <c r="B10" s="1" t="s">
        <v>24</v>
      </c>
      <c r="C10" s="1" t="s">
        <v>18</v>
      </c>
      <c r="D10" s="1" t="s">
        <v>27</v>
      </c>
      <c r="E10" s="1" t="s">
        <v>11</v>
      </c>
      <c r="F10" s="1" t="s">
        <v>26</v>
      </c>
      <c r="G10" s="1" t="s">
        <v>13</v>
      </c>
      <c r="H10" s="1">
        <v>0</v>
      </c>
      <c r="I10" s="1">
        <v>0</v>
      </c>
      <c r="J10" s="1" t="s">
        <v>21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1</v>
      </c>
      <c r="S10" s="1">
        <v>0</v>
      </c>
      <c r="T10" s="1">
        <v>0</v>
      </c>
      <c r="U10" s="1">
        <v>1</v>
      </c>
      <c r="V10" s="1">
        <v>1</v>
      </c>
      <c r="W10" s="1">
        <v>0</v>
      </c>
      <c r="X10" s="1">
        <v>3</v>
      </c>
      <c r="Y10" s="1">
        <v>3</v>
      </c>
      <c r="Z10" s="1">
        <v>4</v>
      </c>
      <c r="AA10" s="1">
        <v>3</v>
      </c>
      <c r="AB10" s="1">
        <v>4</v>
      </c>
      <c r="AC10" s="1">
        <v>5</v>
      </c>
      <c r="AD10" s="1">
        <v>2</v>
      </c>
      <c r="AE10" t="s">
        <v>1</v>
      </c>
      <c r="AF10" t="s">
        <v>1</v>
      </c>
      <c r="AG10" t="s">
        <v>1</v>
      </c>
      <c r="AH10" t="s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 s="1" t="s">
        <v>10</v>
      </c>
      <c r="AQ10" s="1">
        <v>0</v>
      </c>
      <c r="AR10" s="1">
        <v>1</v>
      </c>
      <c r="AS10" s="1">
        <v>0</v>
      </c>
      <c r="AT10" s="1">
        <v>0</v>
      </c>
      <c r="AU10" s="1">
        <v>1</v>
      </c>
      <c r="AV10" s="1">
        <v>1</v>
      </c>
      <c r="AW10" s="1" t="s">
        <v>0</v>
      </c>
      <c r="AY10" s="1">
        <f>AVERAGE(Form_Responses34[[#This Row],[ci_belonging]:[ci_feel_included]])</f>
        <v>3.4285714285714284</v>
      </c>
    </row>
    <row r="11" spans="1:51" ht="22.5" customHeight="1" x14ac:dyDescent="0.3">
      <c r="A11" s="1">
        <v>22</v>
      </c>
      <c r="B11" s="1" t="s">
        <v>24</v>
      </c>
      <c r="C11" s="1" t="s">
        <v>7</v>
      </c>
      <c r="D11" s="1" t="s">
        <v>22</v>
      </c>
      <c r="E11" s="1" t="s">
        <v>11</v>
      </c>
      <c r="F11" s="1" t="s">
        <v>26</v>
      </c>
      <c r="G11" s="1" t="s">
        <v>25</v>
      </c>
      <c r="H11" s="1">
        <v>0</v>
      </c>
      <c r="I11" s="1" t="s">
        <v>23</v>
      </c>
      <c r="J11" s="1" t="s">
        <v>4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1</v>
      </c>
      <c r="Y11" s="1">
        <v>3</v>
      </c>
      <c r="Z11" s="1">
        <v>1</v>
      </c>
      <c r="AA11" s="1">
        <v>2</v>
      </c>
      <c r="AB11" s="1">
        <v>2</v>
      </c>
      <c r="AC11" s="1">
        <v>3</v>
      </c>
      <c r="AD11" s="1">
        <v>1</v>
      </c>
      <c r="AE11" t="s">
        <v>1</v>
      </c>
      <c r="AF11" t="s">
        <v>1</v>
      </c>
      <c r="AG11" t="s">
        <v>1</v>
      </c>
      <c r="AH11" t="s">
        <v>1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0</v>
      </c>
      <c r="AP11" s="1" t="s">
        <v>10</v>
      </c>
      <c r="AQ11" s="1">
        <v>0</v>
      </c>
      <c r="AR11" s="1">
        <v>1</v>
      </c>
      <c r="AS11" s="1">
        <v>0</v>
      </c>
      <c r="AT11" s="1">
        <v>0</v>
      </c>
      <c r="AU11" s="1">
        <v>1</v>
      </c>
      <c r="AV11" s="1">
        <v>0</v>
      </c>
      <c r="AW11" s="1" t="s">
        <v>0</v>
      </c>
      <c r="AX11" s="1">
        <v>3</v>
      </c>
      <c r="AY11" s="1">
        <f>AVERAGE(Form_Responses34[[#This Row],[ci_belonging]:[ci_feel_included]])</f>
        <v>1.8571428571428572</v>
      </c>
    </row>
    <row r="12" spans="1:51" ht="22.5" customHeight="1" x14ac:dyDescent="0.3">
      <c r="A12" s="1">
        <v>22</v>
      </c>
      <c r="B12" s="1" t="s">
        <v>8</v>
      </c>
      <c r="C12" s="1" t="s">
        <v>7</v>
      </c>
      <c r="D12" s="1" t="s">
        <v>22</v>
      </c>
      <c r="E12" s="1" t="s">
        <v>11</v>
      </c>
      <c r="F12" s="1">
        <v>0</v>
      </c>
      <c r="G12" s="1">
        <v>0</v>
      </c>
      <c r="H12" s="1">
        <v>0</v>
      </c>
      <c r="I12" s="1">
        <v>0</v>
      </c>
      <c r="J12" s="1" t="s">
        <v>15</v>
      </c>
      <c r="K12" s="1">
        <v>1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0</v>
      </c>
      <c r="X12" s="1">
        <v>1</v>
      </c>
      <c r="Y12" s="1">
        <v>2</v>
      </c>
      <c r="Z12" s="1">
        <v>3</v>
      </c>
      <c r="AA12" s="1">
        <v>3</v>
      </c>
      <c r="AB12" s="1">
        <v>4</v>
      </c>
      <c r="AC12" s="1">
        <v>1</v>
      </c>
      <c r="AD12" s="1">
        <v>1</v>
      </c>
      <c r="AE12" t="s">
        <v>1</v>
      </c>
      <c r="AF12" t="s">
        <v>1</v>
      </c>
      <c r="AG12" t="s">
        <v>1</v>
      </c>
      <c r="AH12" t="s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 s="1" t="s">
        <v>10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  <c r="AW12" s="1" t="s">
        <v>9</v>
      </c>
      <c r="AY12" s="1">
        <f>AVERAGE(Form_Responses34[[#This Row],[ci_belonging]:[ci_feel_included]])</f>
        <v>2.1428571428571428</v>
      </c>
    </row>
    <row r="13" spans="1:51" ht="22.5" customHeight="1" x14ac:dyDescent="0.3">
      <c r="A13" s="1">
        <v>21</v>
      </c>
      <c r="B13" s="1" t="s">
        <v>24</v>
      </c>
      <c r="C13" s="1" t="s">
        <v>18</v>
      </c>
      <c r="D13" s="1" t="s">
        <v>27</v>
      </c>
      <c r="E13" s="1" t="s">
        <v>11</v>
      </c>
      <c r="F13" s="1">
        <v>1</v>
      </c>
      <c r="G13" s="1" t="s">
        <v>16</v>
      </c>
      <c r="H13" s="1">
        <v>0</v>
      </c>
      <c r="I13" s="1">
        <v>0</v>
      </c>
      <c r="J13" s="1" t="s">
        <v>4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1</v>
      </c>
      <c r="W13" s="1">
        <v>0</v>
      </c>
      <c r="X13" s="1">
        <v>2</v>
      </c>
      <c r="Y13" s="1">
        <v>1</v>
      </c>
      <c r="Z13" s="1">
        <v>1</v>
      </c>
      <c r="AA13" s="1">
        <v>1</v>
      </c>
      <c r="AB13" s="1">
        <v>1</v>
      </c>
      <c r="AC13" s="1">
        <v>4</v>
      </c>
      <c r="AD13" s="1">
        <v>1</v>
      </c>
      <c r="AE13" t="s">
        <v>1</v>
      </c>
      <c r="AF13" t="s">
        <v>1</v>
      </c>
      <c r="AG13" t="s">
        <v>1</v>
      </c>
      <c r="AH13" t="s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 s="1" t="s">
        <v>2</v>
      </c>
      <c r="AQ13" s="1" t="s">
        <v>1</v>
      </c>
      <c r="AR13" s="1" t="s">
        <v>1</v>
      </c>
      <c r="AS13" s="1" t="s">
        <v>1</v>
      </c>
      <c r="AT13" s="1" t="s">
        <v>1</v>
      </c>
      <c r="AU13" s="1" t="s">
        <v>1</v>
      </c>
      <c r="AV13" s="1" t="s">
        <v>1</v>
      </c>
      <c r="AW13" s="1" t="s">
        <v>9</v>
      </c>
      <c r="AY13" s="1">
        <f>AVERAGE(Form_Responses34[[#This Row],[ci_belonging]:[ci_feel_included]])</f>
        <v>1.5714285714285714</v>
      </c>
    </row>
    <row r="14" spans="1:51" ht="22.5" customHeight="1" x14ac:dyDescent="0.3">
      <c r="A14" s="1">
        <v>24</v>
      </c>
      <c r="B14" s="1" t="s">
        <v>24</v>
      </c>
      <c r="C14" s="1" t="s">
        <v>18</v>
      </c>
      <c r="D14" s="1" t="s">
        <v>27</v>
      </c>
      <c r="E14" s="1" t="s">
        <v>11</v>
      </c>
      <c r="F14" s="1">
        <v>0</v>
      </c>
      <c r="G14" s="1" t="s">
        <v>23</v>
      </c>
      <c r="H14" s="1">
        <v>0</v>
      </c>
      <c r="I14" s="1" t="s">
        <v>23</v>
      </c>
      <c r="J14" s="1" t="s">
        <v>21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4</v>
      </c>
      <c r="Y14" s="1">
        <v>4</v>
      </c>
      <c r="Z14" s="1">
        <v>4</v>
      </c>
      <c r="AA14" s="1">
        <v>4</v>
      </c>
      <c r="AB14" s="1">
        <v>3</v>
      </c>
      <c r="AC14" s="1">
        <v>4</v>
      </c>
      <c r="AD14" s="1">
        <v>4</v>
      </c>
      <c r="AE14" t="s">
        <v>1</v>
      </c>
      <c r="AF14" t="s">
        <v>1</v>
      </c>
      <c r="AG14" t="s">
        <v>1</v>
      </c>
      <c r="AH14" t="s">
        <v>1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1</v>
      </c>
      <c r="AP14" s="1" t="s">
        <v>10</v>
      </c>
      <c r="AQ14" s="1">
        <v>0</v>
      </c>
      <c r="AR14" s="1">
        <v>0</v>
      </c>
      <c r="AS14" s="1">
        <v>0</v>
      </c>
      <c r="AT14" s="1">
        <v>1</v>
      </c>
      <c r="AU14" s="1">
        <v>0</v>
      </c>
      <c r="AV14" s="1">
        <v>1</v>
      </c>
      <c r="AW14" s="1" t="s">
        <v>9</v>
      </c>
      <c r="AY14" s="1">
        <f>AVERAGE(Form_Responses34[[#This Row],[ci_belonging]:[ci_feel_included]])</f>
        <v>3.8571428571428572</v>
      </c>
    </row>
    <row r="15" spans="1:51" ht="22.5" customHeight="1" x14ac:dyDescent="0.3">
      <c r="A15" s="1">
        <v>23</v>
      </c>
      <c r="B15" s="1" t="s">
        <v>8</v>
      </c>
      <c r="C15" s="1" t="s">
        <v>7</v>
      </c>
      <c r="D15" s="1" t="s">
        <v>6</v>
      </c>
      <c r="E15" s="1" t="s">
        <v>11</v>
      </c>
      <c r="F15" s="1">
        <v>0</v>
      </c>
      <c r="G15" s="1">
        <v>0</v>
      </c>
      <c r="H15" s="1">
        <v>0</v>
      </c>
      <c r="I15" s="1">
        <v>0</v>
      </c>
      <c r="J15" s="1" t="s">
        <v>4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2</v>
      </c>
      <c r="Y15" s="1">
        <v>4</v>
      </c>
      <c r="Z15" s="1">
        <v>3</v>
      </c>
      <c r="AA15" s="1">
        <v>2</v>
      </c>
      <c r="AB15" s="1">
        <v>5</v>
      </c>
      <c r="AC15" s="1">
        <v>2</v>
      </c>
      <c r="AD15" s="1">
        <v>2</v>
      </c>
      <c r="AE15" t="s">
        <v>1</v>
      </c>
      <c r="AF15" t="s">
        <v>1</v>
      </c>
      <c r="AG15" t="s">
        <v>1</v>
      </c>
      <c r="AH15" t="s">
        <v>1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1</v>
      </c>
      <c r="AP15" s="1" t="s">
        <v>10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 t="s">
        <v>9</v>
      </c>
      <c r="AX15" s="1">
        <v>4</v>
      </c>
      <c r="AY15" s="1">
        <f>AVERAGE(Form_Responses34[[#This Row],[ci_belonging]:[ci_feel_included]])</f>
        <v>2.8571428571428572</v>
      </c>
    </row>
    <row r="16" spans="1:51" ht="22.5" customHeight="1" x14ac:dyDescent="0.3">
      <c r="A16" s="1">
        <v>23</v>
      </c>
      <c r="B16" s="1" t="s">
        <v>8</v>
      </c>
      <c r="C16" s="1" t="s">
        <v>18</v>
      </c>
      <c r="D16" s="1" t="s">
        <v>6</v>
      </c>
      <c r="E16" s="1" t="s">
        <v>11</v>
      </c>
      <c r="F16" s="1">
        <v>2</v>
      </c>
      <c r="G16" s="1" t="s">
        <v>23</v>
      </c>
      <c r="H16" s="1">
        <v>1</v>
      </c>
      <c r="I16" s="1" t="s">
        <v>23</v>
      </c>
      <c r="J16" s="1" t="s">
        <v>4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</v>
      </c>
      <c r="Y16" s="1">
        <v>5</v>
      </c>
      <c r="Z16" s="1">
        <v>3</v>
      </c>
      <c r="AA16" s="1">
        <v>5</v>
      </c>
      <c r="AB16" s="1">
        <v>5</v>
      </c>
      <c r="AC16" s="1">
        <v>5</v>
      </c>
      <c r="AD16" s="1">
        <v>3</v>
      </c>
      <c r="AE16" t="s">
        <v>1</v>
      </c>
      <c r="AF16" t="s">
        <v>1</v>
      </c>
      <c r="AG16" t="s">
        <v>1</v>
      </c>
      <c r="AH16" t="s">
        <v>1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 s="1" t="s">
        <v>10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</v>
      </c>
      <c r="AW16" s="1" t="s">
        <v>9</v>
      </c>
      <c r="AX16" s="1">
        <v>4</v>
      </c>
      <c r="AY16" s="1">
        <f>AVERAGE(Form_Responses34[[#This Row],[ci_belonging]:[ci_feel_included]])</f>
        <v>4.4285714285714288</v>
      </c>
    </row>
    <row r="17" spans="1:51" ht="22.5" customHeight="1" x14ac:dyDescent="0.3">
      <c r="A17" s="1">
        <v>23</v>
      </c>
      <c r="B17" s="1" t="s">
        <v>8</v>
      </c>
      <c r="C17" s="1" t="s">
        <v>7</v>
      </c>
      <c r="D17" s="1" t="s">
        <v>17</v>
      </c>
      <c r="E17" s="1" t="s">
        <v>5</v>
      </c>
      <c r="F17" s="1" t="s">
        <v>26</v>
      </c>
      <c r="G17" s="1" t="s">
        <v>13</v>
      </c>
      <c r="H17" s="1">
        <v>0</v>
      </c>
      <c r="I17" s="1" t="s">
        <v>16</v>
      </c>
      <c r="J17" s="1" t="s">
        <v>21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5</v>
      </c>
      <c r="AD17" s="1">
        <v>5</v>
      </c>
      <c r="AE17" s="1" t="s">
        <v>14</v>
      </c>
      <c r="AF17" s="1" t="s">
        <v>29</v>
      </c>
      <c r="AG17" s="1" t="s">
        <v>19</v>
      </c>
      <c r="AH17" s="1" t="s">
        <v>3</v>
      </c>
      <c r="AI17" s="1">
        <v>0</v>
      </c>
      <c r="AJ17" s="1">
        <v>1</v>
      </c>
      <c r="AK17" s="1">
        <v>1</v>
      </c>
      <c r="AL17" s="1">
        <v>1</v>
      </c>
      <c r="AM17" s="1">
        <v>1</v>
      </c>
      <c r="AN17" s="1">
        <v>0</v>
      </c>
      <c r="AO17" s="1">
        <v>0</v>
      </c>
      <c r="AP17" s="1" t="s">
        <v>2</v>
      </c>
      <c r="AQ17" s="1" t="s">
        <v>1</v>
      </c>
      <c r="AR17" s="1" t="s">
        <v>1</v>
      </c>
      <c r="AS17" s="1" t="s">
        <v>1</v>
      </c>
      <c r="AT17" s="1" t="s">
        <v>1</v>
      </c>
      <c r="AU17" s="1" t="s">
        <v>1</v>
      </c>
      <c r="AV17" s="1" t="s">
        <v>1</v>
      </c>
      <c r="AW17" s="1" t="s">
        <v>9</v>
      </c>
      <c r="AX17" s="1">
        <v>4</v>
      </c>
      <c r="AY17" s="1">
        <f>AVERAGE(Form_Responses34[[#This Row],[ci_belonging]:[ci_feel_included]])</f>
        <v>4.2857142857142856</v>
      </c>
    </row>
    <row r="18" spans="1:51" ht="22.5" customHeight="1" x14ac:dyDescent="0.3">
      <c r="A18" s="1">
        <v>23</v>
      </c>
      <c r="B18" s="1" t="s">
        <v>24</v>
      </c>
      <c r="C18" s="1" t="s">
        <v>18</v>
      </c>
      <c r="D18" s="1" t="s">
        <v>6</v>
      </c>
      <c r="E18" s="1" t="s">
        <v>11</v>
      </c>
      <c r="F18" s="1">
        <v>0</v>
      </c>
      <c r="G18" s="1" t="s">
        <v>16</v>
      </c>
      <c r="H18" s="1" t="s">
        <v>26</v>
      </c>
      <c r="I18" s="1" t="s">
        <v>16</v>
      </c>
      <c r="J18" s="1" t="s">
        <v>4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  <c r="AC18" s="1">
        <v>2</v>
      </c>
      <c r="AD18" s="1">
        <v>1</v>
      </c>
      <c r="AE18" t="s">
        <v>1</v>
      </c>
      <c r="AF18" t="s">
        <v>1</v>
      </c>
      <c r="AG18" t="s">
        <v>1</v>
      </c>
      <c r="AH18" t="s">
        <v>1</v>
      </c>
      <c r="AI18">
        <v>0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1</v>
      </c>
      <c r="AP18" s="1" t="s">
        <v>14</v>
      </c>
      <c r="AQ18" s="1">
        <v>1</v>
      </c>
      <c r="AR18" s="1">
        <v>0</v>
      </c>
      <c r="AS18" s="1">
        <v>0</v>
      </c>
      <c r="AT18" s="1">
        <v>0</v>
      </c>
      <c r="AU18" s="1">
        <v>0</v>
      </c>
      <c r="AV18" s="1">
        <v>1</v>
      </c>
      <c r="AW18" s="1" t="s">
        <v>9</v>
      </c>
      <c r="AX18" s="1">
        <v>3</v>
      </c>
      <c r="AY18" s="1">
        <f>AVERAGE(Form_Responses34[[#This Row],[ci_belonging]:[ci_feel_included]])</f>
        <v>2.5714285714285716</v>
      </c>
    </row>
    <row r="19" spans="1:51" ht="22.5" customHeight="1" x14ac:dyDescent="0.3">
      <c r="A19" s="1">
        <v>22</v>
      </c>
      <c r="B19" s="1" t="s">
        <v>24</v>
      </c>
      <c r="C19" s="1" t="s">
        <v>18</v>
      </c>
      <c r="D19" s="1" t="s">
        <v>17</v>
      </c>
      <c r="E19" s="1" t="s">
        <v>11</v>
      </c>
      <c r="F19" s="1">
        <v>2</v>
      </c>
      <c r="G19" s="1" t="s">
        <v>16</v>
      </c>
      <c r="H19" s="1">
        <v>2</v>
      </c>
      <c r="I19" s="1">
        <v>0</v>
      </c>
      <c r="J19" s="1" t="s">
        <v>4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</v>
      </c>
      <c r="Y19" s="1">
        <v>3</v>
      </c>
      <c r="Z19" s="1">
        <v>2</v>
      </c>
      <c r="AA19" s="1">
        <v>5</v>
      </c>
      <c r="AB19" s="1">
        <v>3</v>
      </c>
      <c r="AC19" s="1">
        <v>3</v>
      </c>
      <c r="AD19" s="1">
        <v>3</v>
      </c>
      <c r="AE19" t="s">
        <v>1</v>
      </c>
      <c r="AF19" t="s">
        <v>1</v>
      </c>
      <c r="AG19" t="s">
        <v>1</v>
      </c>
      <c r="AH19" t="s">
        <v>1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 s="1" t="s">
        <v>10</v>
      </c>
      <c r="AQ19" s="1">
        <v>0</v>
      </c>
      <c r="AR19" s="1">
        <v>1</v>
      </c>
      <c r="AS19" s="1">
        <v>1</v>
      </c>
      <c r="AT19" s="1">
        <v>0</v>
      </c>
      <c r="AU19" s="1">
        <v>0</v>
      </c>
      <c r="AV19" s="1">
        <v>0</v>
      </c>
      <c r="AW19" s="1" t="s">
        <v>9</v>
      </c>
      <c r="AX19" s="1">
        <v>3</v>
      </c>
      <c r="AY19" s="1">
        <f>AVERAGE(Form_Responses34[[#This Row],[ci_belonging]:[ci_feel_included]])</f>
        <v>3</v>
      </c>
    </row>
    <row r="20" spans="1:51" ht="22.5" customHeight="1" x14ac:dyDescent="0.3">
      <c r="A20" s="1">
        <v>22</v>
      </c>
      <c r="B20" s="1" t="s">
        <v>8</v>
      </c>
      <c r="C20" s="1" t="s">
        <v>7</v>
      </c>
      <c r="D20" s="1" t="s">
        <v>6</v>
      </c>
      <c r="E20" s="1" t="s">
        <v>11</v>
      </c>
      <c r="F20" s="1">
        <v>0</v>
      </c>
      <c r="G20" s="1">
        <v>0</v>
      </c>
      <c r="H20" s="1">
        <v>0</v>
      </c>
      <c r="I20" s="1">
        <v>0</v>
      </c>
      <c r="J20" s="1" t="s">
        <v>4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3</v>
      </c>
      <c r="Y20" s="1">
        <v>3</v>
      </c>
      <c r="Z20" s="1">
        <v>3</v>
      </c>
      <c r="AA20" s="1">
        <v>3</v>
      </c>
      <c r="AB20" s="1">
        <v>3</v>
      </c>
      <c r="AC20" s="1">
        <v>3</v>
      </c>
      <c r="AD20" s="1">
        <v>3</v>
      </c>
      <c r="AE20" t="s">
        <v>1</v>
      </c>
      <c r="AF20" t="s">
        <v>1</v>
      </c>
      <c r="AG20" t="s">
        <v>1</v>
      </c>
      <c r="AH20" t="s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0</v>
      </c>
      <c r="AP20" s="1" t="s">
        <v>2</v>
      </c>
      <c r="AQ20" s="1" t="s">
        <v>1</v>
      </c>
      <c r="AR20" s="1" t="s">
        <v>1</v>
      </c>
      <c r="AS20" s="1" t="s">
        <v>1</v>
      </c>
      <c r="AT20" s="1" t="s">
        <v>1</v>
      </c>
      <c r="AU20" s="1" t="s">
        <v>1</v>
      </c>
      <c r="AV20" s="1" t="s">
        <v>1</v>
      </c>
      <c r="AW20" s="1" t="s">
        <v>0</v>
      </c>
      <c r="AX20" s="1">
        <v>3</v>
      </c>
      <c r="AY20" s="1">
        <f>AVERAGE(Form_Responses34[[#This Row],[ci_belonging]:[ci_feel_included]])</f>
        <v>3</v>
      </c>
    </row>
    <row r="21" spans="1:51" ht="22.5" customHeight="1" x14ac:dyDescent="0.3">
      <c r="A21" s="1">
        <v>21</v>
      </c>
      <c r="B21" s="1" t="s">
        <v>24</v>
      </c>
      <c r="C21" s="1" t="s">
        <v>7</v>
      </c>
      <c r="D21" s="1" t="s">
        <v>6</v>
      </c>
      <c r="E21" s="1" t="s">
        <v>11</v>
      </c>
      <c r="F21" s="1">
        <v>2</v>
      </c>
      <c r="G21" s="1" t="s">
        <v>16</v>
      </c>
      <c r="H21" s="1">
        <v>1</v>
      </c>
      <c r="I21" s="1" t="s">
        <v>16</v>
      </c>
      <c r="J21" s="1" t="s">
        <v>4</v>
      </c>
      <c r="K21" s="1">
        <v>1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4</v>
      </c>
      <c r="Y21" s="1">
        <v>5</v>
      </c>
      <c r="Z21" s="1">
        <v>3</v>
      </c>
      <c r="AA21" s="1">
        <v>4</v>
      </c>
      <c r="AB21" s="1">
        <v>5</v>
      </c>
      <c r="AC21" s="1">
        <v>4</v>
      </c>
      <c r="AD21" s="1">
        <v>4</v>
      </c>
      <c r="AE21" t="s">
        <v>1</v>
      </c>
      <c r="AF21" t="s">
        <v>1</v>
      </c>
      <c r="AG21" t="s">
        <v>1</v>
      </c>
      <c r="AH21" t="s">
        <v>1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 s="1" t="s">
        <v>10</v>
      </c>
      <c r="AQ21" s="1">
        <v>0</v>
      </c>
      <c r="AR21" s="1">
        <v>0</v>
      </c>
      <c r="AS21" s="1">
        <v>1</v>
      </c>
      <c r="AT21" s="1">
        <v>1</v>
      </c>
      <c r="AU21" s="1">
        <v>1</v>
      </c>
      <c r="AV21" s="1">
        <v>1</v>
      </c>
      <c r="AW21" s="1" t="s">
        <v>30</v>
      </c>
      <c r="AY21" s="1">
        <f>AVERAGE(Form_Responses34[[#This Row],[ci_belonging]:[ci_feel_included]])</f>
        <v>4.1428571428571432</v>
      </c>
    </row>
    <row r="22" spans="1:51" ht="22.5" customHeight="1" x14ac:dyDescent="0.3">
      <c r="A22" s="1">
        <v>23</v>
      </c>
      <c r="B22" s="1" t="s">
        <v>8</v>
      </c>
      <c r="C22" s="1" t="s">
        <v>18</v>
      </c>
      <c r="D22" s="1" t="s">
        <v>6</v>
      </c>
      <c r="E22" s="1" t="s">
        <v>11</v>
      </c>
      <c r="F22" s="1">
        <v>2</v>
      </c>
      <c r="G22" s="1" t="s">
        <v>16</v>
      </c>
      <c r="H22" s="1">
        <v>1</v>
      </c>
      <c r="I22" s="1" t="s">
        <v>16</v>
      </c>
      <c r="J22" s="1" t="s">
        <v>4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3</v>
      </c>
      <c r="Y22" s="1">
        <v>3</v>
      </c>
      <c r="Z22" s="1">
        <v>3</v>
      </c>
      <c r="AA22" s="1">
        <v>4</v>
      </c>
      <c r="AB22" s="1">
        <v>4</v>
      </c>
      <c r="AC22" s="1">
        <v>2</v>
      </c>
      <c r="AD22" s="1">
        <v>2</v>
      </c>
      <c r="AE22" t="s">
        <v>1</v>
      </c>
      <c r="AF22" t="s">
        <v>1</v>
      </c>
      <c r="AG22" t="s">
        <v>1</v>
      </c>
      <c r="AH22" t="s">
        <v>1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 s="1" t="s">
        <v>14</v>
      </c>
      <c r="AQ22" s="1">
        <v>1</v>
      </c>
      <c r="AR22" s="1">
        <v>0</v>
      </c>
      <c r="AS22" s="1">
        <v>1</v>
      </c>
      <c r="AT22" s="1">
        <v>1</v>
      </c>
      <c r="AU22" s="1">
        <v>1</v>
      </c>
      <c r="AV22" s="1">
        <v>0</v>
      </c>
      <c r="AW22" s="1" t="s">
        <v>9</v>
      </c>
      <c r="AY22" s="1">
        <f>AVERAGE(Form_Responses34[[#This Row],[ci_belonging]:[ci_feel_included]])</f>
        <v>3</v>
      </c>
    </row>
    <row r="23" spans="1:51" ht="22.5" customHeight="1" x14ac:dyDescent="0.3">
      <c r="A23" s="1">
        <v>22</v>
      </c>
      <c r="B23" s="1" t="s">
        <v>8</v>
      </c>
      <c r="C23" s="1" t="s">
        <v>18</v>
      </c>
      <c r="D23" s="1" t="s">
        <v>27</v>
      </c>
      <c r="E23" s="1" t="s">
        <v>11</v>
      </c>
      <c r="F23" s="1" t="s">
        <v>26</v>
      </c>
      <c r="G23" s="1" t="s">
        <v>23</v>
      </c>
      <c r="H23" s="1">
        <v>0</v>
      </c>
      <c r="I23" s="1">
        <v>0</v>
      </c>
      <c r="J23" s="1" t="s">
        <v>21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1</v>
      </c>
      <c r="R23" s="1">
        <v>1</v>
      </c>
      <c r="S23" s="1">
        <v>0</v>
      </c>
      <c r="T23" s="1">
        <v>0</v>
      </c>
      <c r="U23" s="1">
        <v>1</v>
      </c>
      <c r="V23" s="1">
        <v>0</v>
      </c>
      <c r="W23" s="1">
        <v>1</v>
      </c>
      <c r="X23" s="1">
        <v>4</v>
      </c>
      <c r="Y23" s="1">
        <v>4</v>
      </c>
      <c r="Z23" s="1">
        <v>4</v>
      </c>
      <c r="AA23" s="1">
        <v>4</v>
      </c>
      <c r="AB23" s="1">
        <v>4</v>
      </c>
      <c r="AC23" s="1">
        <v>3</v>
      </c>
      <c r="AD23" s="1">
        <v>3</v>
      </c>
      <c r="AE23" t="s">
        <v>1</v>
      </c>
      <c r="AF23" t="s">
        <v>1</v>
      </c>
      <c r="AG23" t="s">
        <v>1</v>
      </c>
      <c r="AH23" t="s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 s="1" t="s">
        <v>2</v>
      </c>
      <c r="AQ23" s="1" t="s">
        <v>1</v>
      </c>
      <c r="AR23" s="1" t="s">
        <v>1</v>
      </c>
      <c r="AS23" s="1" t="s">
        <v>1</v>
      </c>
      <c r="AT23" s="1" t="s">
        <v>1</v>
      </c>
      <c r="AU23" s="1" t="s">
        <v>1</v>
      </c>
      <c r="AV23" s="1" t="s">
        <v>1</v>
      </c>
      <c r="AW23" s="1" t="s">
        <v>9</v>
      </c>
      <c r="AX23" s="1">
        <v>4</v>
      </c>
      <c r="AY23" s="1">
        <f>AVERAGE(Form_Responses34[[#This Row],[ci_belonging]:[ci_feel_included]])</f>
        <v>3.7142857142857144</v>
      </c>
    </row>
    <row r="24" spans="1:51" ht="22.5" customHeight="1" x14ac:dyDescent="0.3">
      <c r="A24" s="1">
        <v>22</v>
      </c>
      <c r="B24" s="1" t="s">
        <v>24</v>
      </c>
      <c r="C24" s="1" t="s">
        <v>7</v>
      </c>
      <c r="D24" s="1" t="s">
        <v>22</v>
      </c>
      <c r="E24" s="1" t="s">
        <v>11</v>
      </c>
      <c r="F24" s="1">
        <v>1</v>
      </c>
      <c r="G24" s="1" t="s">
        <v>25</v>
      </c>
      <c r="H24" s="1">
        <v>0</v>
      </c>
      <c r="I24" s="1" t="s">
        <v>16</v>
      </c>
      <c r="J24" s="1" t="s">
        <v>21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1</v>
      </c>
      <c r="V24" s="1">
        <v>1</v>
      </c>
      <c r="W24" s="1">
        <v>1</v>
      </c>
      <c r="X24" s="1">
        <v>5</v>
      </c>
      <c r="Y24" s="1">
        <v>5</v>
      </c>
      <c r="Z24" s="1">
        <v>3</v>
      </c>
      <c r="AA24" s="1">
        <v>4</v>
      </c>
      <c r="AB24" s="1">
        <v>3</v>
      </c>
      <c r="AC24" s="1">
        <v>3</v>
      </c>
      <c r="AD24" s="1">
        <v>3</v>
      </c>
      <c r="AE24" t="s">
        <v>1</v>
      </c>
      <c r="AF24" t="s">
        <v>1</v>
      </c>
      <c r="AG24" t="s">
        <v>1</v>
      </c>
      <c r="AH24" t="s">
        <v>1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 s="1" t="s">
        <v>14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1</v>
      </c>
      <c r="AW24" s="1" t="s">
        <v>0</v>
      </c>
      <c r="AX24" s="1">
        <v>1</v>
      </c>
      <c r="AY24" s="1">
        <f>AVERAGE(Form_Responses34[[#This Row],[ci_belonging]:[ci_feel_included]])</f>
        <v>3.7142857142857144</v>
      </c>
    </row>
    <row r="25" spans="1:51" ht="22.5" customHeight="1" x14ac:dyDescent="0.3">
      <c r="A25" s="1">
        <v>23</v>
      </c>
      <c r="B25" s="1" t="s">
        <v>8</v>
      </c>
      <c r="C25" s="1" t="s">
        <v>18</v>
      </c>
      <c r="D25" s="1" t="s">
        <v>27</v>
      </c>
      <c r="E25" s="1" t="s">
        <v>5</v>
      </c>
      <c r="F25" s="1">
        <v>1</v>
      </c>
      <c r="G25" s="1" t="s">
        <v>16</v>
      </c>
      <c r="H25" s="1">
        <v>0</v>
      </c>
      <c r="I25" s="1" t="s">
        <v>16</v>
      </c>
      <c r="J25" s="1" t="s">
        <v>4</v>
      </c>
      <c r="K25" s="1">
        <v>0</v>
      </c>
      <c r="L25" s="1">
        <v>1</v>
      </c>
      <c r="M25" s="1">
        <v>0</v>
      </c>
      <c r="N25" s="1">
        <v>1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4</v>
      </c>
      <c r="Y25" s="1">
        <v>5</v>
      </c>
      <c r="Z25" s="1">
        <v>4</v>
      </c>
      <c r="AA25" s="1">
        <v>3</v>
      </c>
      <c r="AB25" s="1">
        <v>3</v>
      </c>
      <c r="AC25" s="1">
        <v>5</v>
      </c>
      <c r="AD25" s="1">
        <v>5</v>
      </c>
      <c r="AE25" s="1" t="s">
        <v>2</v>
      </c>
      <c r="AF25" s="1" t="s">
        <v>19</v>
      </c>
      <c r="AG25" s="1" t="s">
        <v>3</v>
      </c>
      <c r="AH25" s="1" t="s">
        <v>3</v>
      </c>
      <c r="AI25" s="1">
        <v>0</v>
      </c>
      <c r="AJ25" s="1">
        <v>1</v>
      </c>
      <c r="AK25" s="1">
        <v>0</v>
      </c>
      <c r="AL25" s="1">
        <v>0</v>
      </c>
      <c r="AM25" s="1">
        <v>1</v>
      </c>
      <c r="AN25" s="1">
        <v>0</v>
      </c>
      <c r="AO25" s="1">
        <v>0</v>
      </c>
      <c r="AP25" s="1" t="s">
        <v>2</v>
      </c>
      <c r="AQ25" s="1" t="s">
        <v>1</v>
      </c>
      <c r="AR25" s="1" t="s">
        <v>1</v>
      </c>
      <c r="AS25" s="1" t="s">
        <v>1</v>
      </c>
      <c r="AT25" s="1" t="s">
        <v>1</v>
      </c>
      <c r="AU25" s="1" t="s">
        <v>1</v>
      </c>
      <c r="AV25" s="1" t="s">
        <v>1</v>
      </c>
      <c r="AW25" s="1" t="s">
        <v>0</v>
      </c>
      <c r="AX25" s="1">
        <v>4</v>
      </c>
      <c r="AY25" s="1">
        <f>AVERAGE(Form_Responses34[[#This Row],[ci_belonging]:[ci_feel_included]])</f>
        <v>4.1428571428571432</v>
      </c>
    </row>
    <row r="26" spans="1:51" ht="22.5" customHeight="1" x14ac:dyDescent="0.3">
      <c r="A26" s="1">
        <v>23</v>
      </c>
      <c r="B26" s="1" t="s">
        <v>24</v>
      </c>
      <c r="C26" s="1" t="s">
        <v>12</v>
      </c>
      <c r="D26" s="1" t="s">
        <v>22</v>
      </c>
      <c r="E26" s="1" t="s">
        <v>11</v>
      </c>
      <c r="F26" s="1" t="s">
        <v>26</v>
      </c>
      <c r="G26" s="1" t="s">
        <v>16</v>
      </c>
      <c r="H26" s="1">
        <v>0</v>
      </c>
      <c r="I26" s="1">
        <v>0</v>
      </c>
      <c r="J26" s="1" t="s">
        <v>21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3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t="s">
        <v>1</v>
      </c>
      <c r="AF26" t="s">
        <v>1</v>
      </c>
      <c r="AG26" t="s">
        <v>1</v>
      </c>
      <c r="AH26" t="s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 s="1" t="s">
        <v>2</v>
      </c>
      <c r="AQ26" s="1" t="s">
        <v>1</v>
      </c>
      <c r="AR26" s="1" t="s">
        <v>1</v>
      </c>
      <c r="AS26" s="1" t="s">
        <v>1</v>
      </c>
      <c r="AT26" s="1" t="s">
        <v>1</v>
      </c>
      <c r="AU26" s="1" t="s">
        <v>1</v>
      </c>
      <c r="AV26" s="1" t="s">
        <v>1</v>
      </c>
      <c r="AW26" s="1" t="s">
        <v>9</v>
      </c>
      <c r="AX26" s="1">
        <v>4</v>
      </c>
      <c r="AY26" s="1">
        <f>AVERAGE(Form_Responses34[[#This Row],[ci_belonging]:[ci_feel_included]])</f>
        <v>3.8571428571428572</v>
      </c>
    </row>
    <row r="27" spans="1:51" ht="22.5" customHeight="1" x14ac:dyDescent="0.3">
      <c r="A27" s="1">
        <v>22</v>
      </c>
      <c r="B27" s="1" t="s">
        <v>8</v>
      </c>
      <c r="C27" s="1" t="s">
        <v>7</v>
      </c>
      <c r="D27" s="1" t="s">
        <v>6</v>
      </c>
      <c r="E27" s="1" t="s">
        <v>11</v>
      </c>
      <c r="F27" s="1">
        <v>2</v>
      </c>
      <c r="G27" s="1" t="s">
        <v>16</v>
      </c>
      <c r="H27" s="1">
        <v>0</v>
      </c>
      <c r="I27" s="1">
        <v>0</v>
      </c>
      <c r="J27" s="1" t="s">
        <v>21</v>
      </c>
      <c r="K27" s="1">
        <v>0</v>
      </c>
      <c r="L27" s="1">
        <v>0</v>
      </c>
      <c r="M27" s="1">
        <v>1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5</v>
      </c>
      <c r="Y27" s="1">
        <v>5</v>
      </c>
      <c r="Z27" s="1">
        <v>5</v>
      </c>
      <c r="AA27" s="1">
        <v>3</v>
      </c>
      <c r="AB27" s="1">
        <v>5</v>
      </c>
      <c r="AC27" s="1">
        <v>5</v>
      </c>
      <c r="AD27" s="1">
        <v>5</v>
      </c>
      <c r="AE27" t="s">
        <v>1</v>
      </c>
      <c r="AF27" t="s">
        <v>1</v>
      </c>
      <c r="AG27" t="s">
        <v>1</v>
      </c>
      <c r="AH27" t="s">
        <v>1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0</v>
      </c>
      <c r="AO27">
        <v>1</v>
      </c>
      <c r="AP27" s="1" t="s">
        <v>2</v>
      </c>
      <c r="AQ27" s="1" t="s">
        <v>1</v>
      </c>
      <c r="AR27" s="1" t="s">
        <v>1</v>
      </c>
      <c r="AS27" s="1" t="s">
        <v>1</v>
      </c>
      <c r="AT27" s="1" t="s">
        <v>1</v>
      </c>
      <c r="AU27" s="1" t="s">
        <v>1</v>
      </c>
      <c r="AV27" s="1" t="s">
        <v>1</v>
      </c>
      <c r="AW27" s="1" t="s">
        <v>0</v>
      </c>
      <c r="AY27" s="1">
        <f>AVERAGE(Form_Responses34[[#This Row],[ci_belonging]:[ci_feel_included]])</f>
        <v>4.7142857142857144</v>
      </c>
    </row>
    <row r="28" spans="1:51" ht="22.5" customHeight="1" x14ac:dyDescent="0.3">
      <c r="A28" s="1">
        <v>22</v>
      </c>
      <c r="B28" s="1" t="s">
        <v>24</v>
      </c>
      <c r="C28" s="1" t="s">
        <v>7</v>
      </c>
      <c r="D28" s="1" t="s">
        <v>6</v>
      </c>
      <c r="E28" s="1" t="s">
        <v>11</v>
      </c>
      <c r="F28" s="1">
        <v>1</v>
      </c>
      <c r="G28" s="1" t="s">
        <v>16</v>
      </c>
      <c r="H28" s="1">
        <v>0</v>
      </c>
      <c r="I28" s="1" t="s">
        <v>23</v>
      </c>
      <c r="J28" s="1" t="s">
        <v>4</v>
      </c>
      <c r="K28" s="1">
        <v>1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1</v>
      </c>
      <c r="R28" s="1">
        <v>1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5</v>
      </c>
      <c r="Y28" s="1">
        <v>5</v>
      </c>
      <c r="Z28" s="1">
        <v>3</v>
      </c>
      <c r="AA28" s="1">
        <v>5</v>
      </c>
      <c r="AB28" s="1">
        <v>5</v>
      </c>
      <c r="AC28" s="1">
        <v>5</v>
      </c>
      <c r="AD28" s="1">
        <v>5</v>
      </c>
      <c r="AE28" t="s">
        <v>1</v>
      </c>
      <c r="AF28" t="s">
        <v>1</v>
      </c>
      <c r="AG28" t="s">
        <v>1</v>
      </c>
      <c r="AH28" t="s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1" t="s">
        <v>2</v>
      </c>
      <c r="AQ28" s="1" t="s">
        <v>1</v>
      </c>
      <c r="AR28" s="1" t="s">
        <v>1</v>
      </c>
      <c r="AS28" s="1" t="s">
        <v>1</v>
      </c>
      <c r="AT28" s="1" t="s">
        <v>1</v>
      </c>
      <c r="AU28" s="1" t="s">
        <v>1</v>
      </c>
      <c r="AV28" s="1" t="s">
        <v>1</v>
      </c>
      <c r="AW28" s="1" t="s">
        <v>9</v>
      </c>
      <c r="AX28" s="1">
        <v>4</v>
      </c>
      <c r="AY28" s="1">
        <f>AVERAGE(Form_Responses34[[#This Row],[ci_belonging]:[ci_feel_included]])</f>
        <v>4.7142857142857144</v>
      </c>
    </row>
    <row r="29" spans="1:51" ht="22.5" customHeight="1" x14ac:dyDescent="0.3">
      <c r="A29" s="1">
        <v>23</v>
      </c>
      <c r="B29" s="1" t="s">
        <v>8</v>
      </c>
      <c r="C29" s="1" t="s">
        <v>18</v>
      </c>
      <c r="D29" s="1" t="s">
        <v>17</v>
      </c>
      <c r="E29" s="1" t="s">
        <v>5</v>
      </c>
      <c r="F29" s="1">
        <v>0</v>
      </c>
      <c r="G29" s="1">
        <v>0</v>
      </c>
      <c r="H29" s="1">
        <v>0</v>
      </c>
      <c r="I29" s="1">
        <v>0</v>
      </c>
      <c r="J29" s="1" t="s">
        <v>4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4</v>
      </c>
      <c r="Y29" s="1">
        <v>2</v>
      </c>
      <c r="Z29" s="1">
        <v>1</v>
      </c>
      <c r="AA29" s="1">
        <v>1</v>
      </c>
      <c r="AB29" s="1">
        <v>5</v>
      </c>
      <c r="AC29" s="1">
        <v>1</v>
      </c>
      <c r="AD29" s="1">
        <v>1</v>
      </c>
      <c r="AE29" s="1" t="s">
        <v>14</v>
      </c>
      <c r="AF29" s="1" t="s">
        <v>29</v>
      </c>
      <c r="AG29" s="1" t="s">
        <v>3</v>
      </c>
      <c r="AH29" s="1" t="s">
        <v>29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  <c r="AN29" s="1">
        <v>1</v>
      </c>
      <c r="AO29" s="1">
        <v>0</v>
      </c>
      <c r="AP29" s="1" t="s">
        <v>2</v>
      </c>
      <c r="AQ29" s="1" t="s">
        <v>1</v>
      </c>
      <c r="AR29" s="1" t="s">
        <v>1</v>
      </c>
      <c r="AS29" s="1" t="s">
        <v>1</v>
      </c>
      <c r="AT29" s="1" t="s">
        <v>1</v>
      </c>
      <c r="AU29" s="1" t="s">
        <v>1</v>
      </c>
      <c r="AV29" s="1" t="s">
        <v>1</v>
      </c>
      <c r="AW29" s="1" t="s">
        <v>0</v>
      </c>
      <c r="AY29" s="1">
        <f>AVERAGE(Form_Responses34[[#This Row],[ci_belonging]:[ci_feel_included]])</f>
        <v>2.1428571428571428</v>
      </c>
    </row>
    <row r="30" spans="1:51" ht="22.5" customHeight="1" x14ac:dyDescent="0.3">
      <c r="A30" s="1">
        <v>23</v>
      </c>
      <c r="B30" s="1" t="s">
        <v>8</v>
      </c>
      <c r="C30" s="1" t="s">
        <v>18</v>
      </c>
      <c r="D30" s="1" t="s">
        <v>17</v>
      </c>
      <c r="E30" s="1" t="s">
        <v>11</v>
      </c>
      <c r="F30" s="1">
        <v>1</v>
      </c>
      <c r="G30" s="1" t="s">
        <v>16</v>
      </c>
      <c r="H30" s="1">
        <v>1</v>
      </c>
      <c r="I30" s="1" t="s">
        <v>16</v>
      </c>
      <c r="J30" s="1" t="s">
        <v>4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3</v>
      </c>
      <c r="Y30" s="1">
        <v>4</v>
      </c>
      <c r="Z30" s="1">
        <v>2</v>
      </c>
      <c r="AA30" s="1">
        <v>2</v>
      </c>
      <c r="AB30" s="1">
        <v>2</v>
      </c>
      <c r="AC30" s="1">
        <v>2</v>
      </c>
      <c r="AD30" s="1">
        <v>1</v>
      </c>
      <c r="AE30" t="s">
        <v>1</v>
      </c>
      <c r="AF30" t="s">
        <v>1</v>
      </c>
      <c r="AG30" t="s">
        <v>1</v>
      </c>
      <c r="AH30" t="s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 s="1" t="s">
        <v>2</v>
      </c>
      <c r="AQ30" s="1" t="s">
        <v>1</v>
      </c>
      <c r="AR30" s="1" t="s">
        <v>1</v>
      </c>
      <c r="AS30" s="1" t="s">
        <v>1</v>
      </c>
      <c r="AT30" s="1" t="s">
        <v>1</v>
      </c>
      <c r="AU30" s="1" t="s">
        <v>1</v>
      </c>
      <c r="AV30" s="1" t="s">
        <v>1</v>
      </c>
      <c r="AW30" s="1" t="s">
        <v>9</v>
      </c>
      <c r="AX30" s="1">
        <v>2</v>
      </c>
      <c r="AY30" s="1">
        <f>AVERAGE(Form_Responses34[[#This Row],[ci_belonging]:[ci_feel_included]])</f>
        <v>2.2857142857142856</v>
      </c>
    </row>
    <row r="31" spans="1:51" ht="22.5" customHeight="1" x14ac:dyDescent="0.3">
      <c r="A31" s="1">
        <v>23</v>
      </c>
      <c r="B31" s="1" t="s">
        <v>8</v>
      </c>
      <c r="C31" s="1" t="s">
        <v>12</v>
      </c>
      <c r="D31" s="1" t="s">
        <v>6</v>
      </c>
      <c r="E31" s="1" t="s">
        <v>11</v>
      </c>
      <c r="F31" s="1">
        <v>2</v>
      </c>
      <c r="G31" s="1" t="s">
        <v>16</v>
      </c>
      <c r="H31" s="1">
        <v>0</v>
      </c>
      <c r="I31" s="1">
        <v>0</v>
      </c>
      <c r="J31" s="1" t="s">
        <v>4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4</v>
      </c>
      <c r="Y31" s="1">
        <v>4</v>
      </c>
      <c r="Z31" s="1">
        <v>2</v>
      </c>
      <c r="AA31" s="1">
        <v>3</v>
      </c>
      <c r="AB31" s="1">
        <v>3</v>
      </c>
      <c r="AC31" s="1">
        <v>4</v>
      </c>
      <c r="AD31" s="1">
        <v>4</v>
      </c>
      <c r="AE31" t="s">
        <v>1</v>
      </c>
      <c r="AF31" t="s">
        <v>1</v>
      </c>
      <c r="AG31" t="s">
        <v>1</v>
      </c>
      <c r="AH31" t="s">
        <v>1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0</v>
      </c>
      <c r="AP31" s="1" t="s">
        <v>2</v>
      </c>
      <c r="AQ31" s="1" t="s">
        <v>1</v>
      </c>
      <c r="AR31" s="1" t="s">
        <v>1</v>
      </c>
      <c r="AS31" s="1" t="s">
        <v>1</v>
      </c>
      <c r="AT31" s="1" t="s">
        <v>1</v>
      </c>
      <c r="AU31" s="1" t="s">
        <v>1</v>
      </c>
      <c r="AV31" s="1" t="s">
        <v>1</v>
      </c>
      <c r="AW31" s="1" t="s">
        <v>9</v>
      </c>
      <c r="AX31" s="1">
        <v>3</v>
      </c>
      <c r="AY31" s="1">
        <f>AVERAGE(Form_Responses34[[#This Row],[ci_belonging]:[ci_feel_included]])</f>
        <v>3.4285714285714284</v>
      </c>
    </row>
    <row r="32" spans="1:51" ht="22.5" customHeight="1" x14ac:dyDescent="0.3">
      <c r="A32" s="1">
        <v>23</v>
      </c>
      <c r="B32" s="1" t="s">
        <v>8</v>
      </c>
      <c r="C32" s="1" t="s">
        <v>12</v>
      </c>
      <c r="D32" s="1" t="s">
        <v>6</v>
      </c>
      <c r="E32" s="1" t="s">
        <v>11</v>
      </c>
      <c r="F32" s="1">
        <v>1</v>
      </c>
      <c r="G32" s="1" t="s">
        <v>23</v>
      </c>
      <c r="H32" s="1">
        <v>0</v>
      </c>
      <c r="I32" s="1">
        <v>0</v>
      </c>
      <c r="J32" s="1" t="s">
        <v>4</v>
      </c>
      <c r="K32" s="1">
        <v>1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3</v>
      </c>
      <c r="Y32" s="1">
        <v>3</v>
      </c>
      <c r="Z32" s="1">
        <v>3</v>
      </c>
      <c r="AA32" s="1">
        <v>4</v>
      </c>
      <c r="AB32" s="1">
        <v>2</v>
      </c>
      <c r="AC32" s="1">
        <v>5</v>
      </c>
      <c r="AD32" s="1">
        <v>3</v>
      </c>
      <c r="AE32" t="s">
        <v>1</v>
      </c>
      <c r="AF32" t="s">
        <v>1</v>
      </c>
      <c r="AG32" t="s">
        <v>1</v>
      </c>
      <c r="AH32" t="s">
        <v>1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1</v>
      </c>
      <c r="AP32" s="1" t="s">
        <v>10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 t="s">
        <v>0</v>
      </c>
      <c r="AY32" s="1">
        <f>AVERAGE(Form_Responses34[[#This Row],[ci_belonging]:[ci_feel_included]])</f>
        <v>3.2857142857142856</v>
      </c>
    </row>
    <row r="33" spans="1:51" ht="22.5" customHeight="1" x14ac:dyDescent="0.3">
      <c r="A33" s="1">
        <v>23</v>
      </c>
      <c r="B33" s="1" t="s">
        <v>8</v>
      </c>
      <c r="C33" s="1" t="s">
        <v>18</v>
      </c>
      <c r="D33" s="1" t="s">
        <v>6</v>
      </c>
      <c r="E33" s="1" t="s">
        <v>11</v>
      </c>
      <c r="F33" s="1">
        <v>2</v>
      </c>
      <c r="G33" s="1" t="s">
        <v>16</v>
      </c>
      <c r="H33" s="1">
        <v>0</v>
      </c>
      <c r="I33" s="1">
        <v>0</v>
      </c>
      <c r="J33" s="1" t="s">
        <v>4</v>
      </c>
      <c r="K33" s="1">
        <v>1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4</v>
      </c>
      <c r="Y33" s="1">
        <v>4</v>
      </c>
      <c r="Z33" s="1">
        <v>1</v>
      </c>
      <c r="AA33" s="1">
        <v>3</v>
      </c>
      <c r="AB33" s="1">
        <v>4</v>
      </c>
      <c r="AC33" s="1">
        <v>3</v>
      </c>
      <c r="AD33" s="1">
        <v>4</v>
      </c>
      <c r="AE33" t="s">
        <v>1</v>
      </c>
      <c r="AF33" t="s">
        <v>1</v>
      </c>
      <c r="AG33" t="s">
        <v>1</v>
      </c>
      <c r="AH33" t="s">
        <v>1</v>
      </c>
      <c r="AI33">
        <v>1</v>
      </c>
      <c r="AJ33">
        <v>0</v>
      </c>
      <c r="AK33">
        <v>1</v>
      </c>
      <c r="AL33">
        <v>1</v>
      </c>
      <c r="AM33">
        <v>1</v>
      </c>
      <c r="AN33">
        <v>0</v>
      </c>
      <c r="AO33">
        <v>1</v>
      </c>
      <c r="AP33" s="1" t="s">
        <v>10</v>
      </c>
      <c r="AQ33" s="1">
        <v>0</v>
      </c>
      <c r="AR33" s="1">
        <v>1</v>
      </c>
      <c r="AS33" s="1">
        <v>1</v>
      </c>
      <c r="AT33" s="1">
        <v>1</v>
      </c>
      <c r="AU33" s="1">
        <v>0</v>
      </c>
      <c r="AV33" s="1">
        <v>0</v>
      </c>
      <c r="AW33" s="1" t="s">
        <v>9</v>
      </c>
      <c r="AX33" s="1">
        <v>2</v>
      </c>
      <c r="AY33" s="1">
        <f>AVERAGE(Form_Responses34[[#This Row],[ci_belonging]:[ci_feel_included]])</f>
        <v>3.2857142857142856</v>
      </c>
    </row>
    <row r="34" spans="1:51" ht="22.5" customHeight="1" x14ac:dyDescent="0.3">
      <c r="A34" s="1">
        <v>23</v>
      </c>
      <c r="B34" s="1" t="s">
        <v>8</v>
      </c>
      <c r="C34" s="1" t="s">
        <v>18</v>
      </c>
      <c r="D34" s="1" t="s">
        <v>27</v>
      </c>
      <c r="E34" s="1" t="s">
        <v>11</v>
      </c>
      <c r="F34" s="1">
        <v>2</v>
      </c>
      <c r="G34" s="1" t="s">
        <v>16</v>
      </c>
      <c r="H34" s="1">
        <v>0</v>
      </c>
      <c r="I34" s="1">
        <v>0</v>
      </c>
      <c r="J34" s="1" t="s">
        <v>21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3</v>
      </c>
      <c r="Y34" s="1">
        <v>2</v>
      </c>
      <c r="Z34" s="1">
        <v>2</v>
      </c>
      <c r="AA34" s="1">
        <v>5</v>
      </c>
      <c r="AB34" s="1">
        <v>5</v>
      </c>
      <c r="AC34" s="1">
        <v>4</v>
      </c>
      <c r="AD34" s="1">
        <v>2</v>
      </c>
      <c r="AE34" t="s">
        <v>1</v>
      </c>
      <c r="AF34" t="s">
        <v>1</v>
      </c>
      <c r="AG34" t="s">
        <v>1</v>
      </c>
      <c r="AH34" t="s">
        <v>1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 s="1" t="s">
        <v>10</v>
      </c>
      <c r="AQ34" s="1">
        <v>0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 t="s">
        <v>0</v>
      </c>
      <c r="AY34" s="1">
        <f>AVERAGE(Form_Responses34[[#This Row],[ci_belonging]:[ci_feel_included]])</f>
        <v>3.2857142857142856</v>
      </c>
    </row>
    <row r="35" spans="1:51" ht="22.5" customHeight="1" x14ac:dyDescent="0.3">
      <c r="A35" s="1">
        <v>22</v>
      </c>
      <c r="B35" s="1" t="s">
        <v>8</v>
      </c>
      <c r="C35" s="1" t="s">
        <v>7</v>
      </c>
      <c r="D35" s="1" t="s">
        <v>6</v>
      </c>
      <c r="E35" s="1" t="s">
        <v>11</v>
      </c>
      <c r="F35" s="1">
        <v>1</v>
      </c>
      <c r="G35" s="1" t="s">
        <v>16</v>
      </c>
      <c r="H35" s="1">
        <v>0</v>
      </c>
      <c r="I35" s="1" t="s">
        <v>16</v>
      </c>
      <c r="J35" s="1" t="s">
        <v>4</v>
      </c>
      <c r="K35" s="1">
        <v>1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</v>
      </c>
      <c r="Y35" s="1">
        <v>4</v>
      </c>
      <c r="Z35" s="1">
        <v>3</v>
      </c>
      <c r="AA35" s="1">
        <v>4</v>
      </c>
      <c r="AB35" s="1">
        <v>2</v>
      </c>
      <c r="AC35" s="1">
        <v>5</v>
      </c>
      <c r="AD35" s="1">
        <v>3</v>
      </c>
      <c r="AE35" t="s">
        <v>1</v>
      </c>
      <c r="AF35" t="s">
        <v>1</v>
      </c>
      <c r="AG35" t="s">
        <v>1</v>
      </c>
      <c r="AH35" t="s">
        <v>1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1</v>
      </c>
      <c r="AP35" s="1" t="s">
        <v>2</v>
      </c>
      <c r="AQ35" s="1" t="s">
        <v>1</v>
      </c>
      <c r="AR35" s="1" t="s">
        <v>1</v>
      </c>
      <c r="AS35" s="1" t="s">
        <v>1</v>
      </c>
      <c r="AT35" s="1" t="s">
        <v>1</v>
      </c>
      <c r="AU35" s="1" t="s">
        <v>1</v>
      </c>
      <c r="AV35" s="1" t="s">
        <v>1</v>
      </c>
      <c r="AW35" s="1" t="s">
        <v>9</v>
      </c>
      <c r="AY35" s="1">
        <f>AVERAGE(Form_Responses34[[#This Row],[ci_belonging]:[ci_feel_included]])</f>
        <v>3.4285714285714284</v>
      </c>
    </row>
    <row r="36" spans="1:51" ht="22.5" customHeight="1" x14ac:dyDescent="0.3">
      <c r="A36" s="1">
        <v>22</v>
      </c>
      <c r="B36" s="1" t="s">
        <v>8</v>
      </c>
      <c r="C36" s="1" t="s">
        <v>18</v>
      </c>
      <c r="D36" s="1" t="s">
        <v>6</v>
      </c>
      <c r="E36" s="1" t="s">
        <v>11</v>
      </c>
      <c r="F36" s="1" t="s">
        <v>26</v>
      </c>
      <c r="G36" s="1" t="s">
        <v>16</v>
      </c>
      <c r="H36" s="1">
        <v>0</v>
      </c>
      <c r="I36" s="1">
        <v>0</v>
      </c>
      <c r="J36" s="1" t="s">
        <v>4</v>
      </c>
      <c r="K36" s="1">
        <v>1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5</v>
      </c>
      <c r="Y36" s="1">
        <v>5</v>
      </c>
      <c r="Z36" s="1">
        <v>5</v>
      </c>
      <c r="AA36" s="1">
        <v>4</v>
      </c>
      <c r="AB36" s="1">
        <v>4</v>
      </c>
      <c r="AC36" s="1">
        <v>5</v>
      </c>
      <c r="AD36" s="1">
        <v>5</v>
      </c>
      <c r="AE36" t="s">
        <v>1</v>
      </c>
      <c r="AF36" t="s">
        <v>1</v>
      </c>
      <c r="AG36" t="s">
        <v>1</v>
      </c>
      <c r="AH36" t="s">
        <v>1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 s="1" t="s">
        <v>2</v>
      </c>
      <c r="AQ36" s="1" t="s">
        <v>1</v>
      </c>
      <c r="AR36" s="1" t="s">
        <v>1</v>
      </c>
      <c r="AS36" s="1" t="s">
        <v>1</v>
      </c>
      <c r="AT36" s="1" t="s">
        <v>1</v>
      </c>
      <c r="AU36" s="1" t="s">
        <v>1</v>
      </c>
      <c r="AV36" s="1" t="s">
        <v>1</v>
      </c>
      <c r="AW36" s="1" t="s">
        <v>9</v>
      </c>
      <c r="AX36" s="1">
        <v>4</v>
      </c>
      <c r="AY36" s="1">
        <f>AVERAGE(Form_Responses34[[#This Row],[ci_belonging]:[ci_feel_included]])</f>
        <v>4.7142857142857144</v>
      </c>
    </row>
    <row r="37" spans="1:51" ht="22.5" customHeight="1" x14ac:dyDescent="0.3">
      <c r="A37" s="1">
        <v>22</v>
      </c>
      <c r="B37" s="1" t="s">
        <v>8</v>
      </c>
      <c r="C37" s="1" t="s">
        <v>18</v>
      </c>
      <c r="D37" s="1" t="s">
        <v>17</v>
      </c>
      <c r="E37" s="1" t="s">
        <v>11</v>
      </c>
      <c r="F37" s="1">
        <v>1</v>
      </c>
      <c r="G37" s="1" t="s">
        <v>16</v>
      </c>
      <c r="H37" s="1">
        <v>0</v>
      </c>
      <c r="I37" s="1">
        <v>0</v>
      </c>
      <c r="J37" s="1" t="s">
        <v>4</v>
      </c>
      <c r="K37" s="1">
        <v>1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1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5</v>
      </c>
      <c r="Y37" s="1">
        <v>4</v>
      </c>
      <c r="Z37" s="1">
        <v>3</v>
      </c>
      <c r="AA37" s="1">
        <v>5</v>
      </c>
      <c r="AB37" s="1">
        <v>4</v>
      </c>
      <c r="AC37" s="1">
        <v>3</v>
      </c>
      <c r="AD37" s="1">
        <v>3</v>
      </c>
      <c r="AE37" t="s">
        <v>1</v>
      </c>
      <c r="AF37" t="s">
        <v>1</v>
      </c>
      <c r="AG37" t="s">
        <v>1</v>
      </c>
      <c r="AH37" t="s">
        <v>1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 s="1" t="s">
        <v>2</v>
      </c>
      <c r="AQ37" s="1" t="s">
        <v>1</v>
      </c>
      <c r="AR37" s="1" t="s">
        <v>1</v>
      </c>
      <c r="AS37" s="1" t="s">
        <v>1</v>
      </c>
      <c r="AT37" s="1" t="s">
        <v>1</v>
      </c>
      <c r="AU37" s="1" t="s">
        <v>1</v>
      </c>
      <c r="AV37" s="1" t="s">
        <v>1</v>
      </c>
      <c r="AW37" s="1" t="s">
        <v>9</v>
      </c>
      <c r="AY37" s="1">
        <f>AVERAGE(Form_Responses34[[#This Row],[ci_belonging]:[ci_feel_included]])</f>
        <v>3.8571428571428572</v>
      </c>
    </row>
    <row r="38" spans="1:51" ht="22.5" customHeight="1" x14ac:dyDescent="0.3">
      <c r="A38" s="1">
        <v>23</v>
      </c>
      <c r="B38" s="1" t="s">
        <v>8</v>
      </c>
      <c r="C38" s="1" t="s">
        <v>7</v>
      </c>
      <c r="D38" s="1" t="s">
        <v>22</v>
      </c>
      <c r="E38" s="1" t="s">
        <v>11</v>
      </c>
      <c r="F38" s="1">
        <v>1</v>
      </c>
      <c r="G38" s="1" t="s">
        <v>23</v>
      </c>
      <c r="H38" s="1">
        <v>0</v>
      </c>
      <c r="I38" s="1">
        <v>0</v>
      </c>
      <c r="J38" s="1" t="s">
        <v>4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2</v>
      </c>
      <c r="Z38" s="1">
        <v>4</v>
      </c>
      <c r="AA38" s="1">
        <v>2</v>
      </c>
      <c r="AB38" s="1">
        <v>1</v>
      </c>
      <c r="AC38" s="1">
        <v>3</v>
      </c>
      <c r="AD38" s="1">
        <v>1</v>
      </c>
      <c r="AE38" t="s">
        <v>1</v>
      </c>
      <c r="AF38" t="s">
        <v>1</v>
      </c>
      <c r="AG38" t="s">
        <v>1</v>
      </c>
      <c r="AH38" t="s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 s="1" t="s">
        <v>10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</v>
      </c>
      <c r="AW38" s="1" t="s">
        <v>9</v>
      </c>
      <c r="AY38" s="1">
        <f>AVERAGE(Form_Responses34[[#This Row],[ci_belonging]:[ci_feel_included]])</f>
        <v>2</v>
      </c>
    </row>
    <row r="39" spans="1:51" ht="22.5" customHeight="1" x14ac:dyDescent="0.3">
      <c r="A39" s="1">
        <v>23</v>
      </c>
      <c r="B39" s="1" t="s">
        <v>8</v>
      </c>
      <c r="C39" s="1" t="s">
        <v>18</v>
      </c>
      <c r="D39" s="1" t="s">
        <v>27</v>
      </c>
      <c r="E39" s="1" t="s">
        <v>11</v>
      </c>
      <c r="F39" s="1">
        <v>2</v>
      </c>
      <c r="G39" s="1" t="s">
        <v>16</v>
      </c>
      <c r="H39" s="1">
        <v>0</v>
      </c>
      <c r="I39" s="1" t="s">
        <v>16</v>
      </c>
      <c r="J39" s="1" t="s">
        <v>21</v>
      </c>
      <c r="K39" s="1">
        <v>1</v>
      </c>
      <c r="L39" s="1">
        <v>1</v>
      </c>
      <c r="M39" s="1">
        <v>1</v>
      </c>
      <c r="N39" s="1">
        <v>0</v>
      </c>
      <c r="O39" s="1">
        <v>1</v>
      </c>
      <c r="P39" s="1">
        <v>0</v>
      </c>
      <c r="Q39" s="1">
        <v>1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5</v>
      </c>
      <c r="Y39" s="1">
        <v>4</v>
      </c>
      <c r="Z39" s="1">
        <v>5</v>
      </c>
      <c r="AA39" s="1">
        <v>5</v>
      </c>
      <c r="AB39" s="1">
        <v>4</v>
      </c>
      <c r="AC39" s="1">
        <v>4</v>
      </c>
      <c r="AD39" s="1">
        <v>5</v>
      </c>
      <c r="AE39" t="s">
        <v>1</v>
      </c>
      <c r="AF39" t="s">
        <v>1</v>
      </c>
      <c r="AG39" t="s">
        <v>1</v>
      </c>
      <c r="AH39" t="s">
        <v>1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1</v>
      </c>
      <c r="AO39">
        <v>0</v>
      </c>
      <c r="AP39" s="1" t="s">
        <v>2</v>
      </c>
      <c r="AQ39" s="1" t="s">
        <v>1</v>
      </c>
      <c r="AR39" s="1" t="s">
        <v>1</v>
      </c>
      <c r="AS39" s="1" t="s">
        <v>1</v>
      </c>
      <c r="AT39" s="1" t="s">
        <v>1</v>
      </c>
      <c r="AU39" s="1" t="s">
        <v>1</v>
      </c>
      <c r="AV39" s="1" t="s">
        <v>1</v>
      </c>
      <c r="AW39" s="1" t="s">
        <v>9</v>
      </c>
      <c r="AX39" s="1">
        <v>4</v>
      </c>
      <c r="AY39" s="9">
        <f>AVERAGE(Form_Responses34[[#This Row],[ci_belonging]:[ci_feel_included]])</f>
        <v>4.5714285714285712</v>
      </c>
    </row>
    <row r="40" spans="1:51" ht="22.5" customHeight="1" x14ac:dyDescent="0.3">
      <c r="A40" s="1">
        <v>23</v>
      </c>
      <c r="B40" s="1" t="s">
        <v>8</v>
      </c>
      <c r="C40" s="1" t="s">
        <v>7</v>
      </c>
      <c r="D40" s="1" t="s">
        <v>22</v>
      </c>
      <c r="E40" s="1" t="s">
        <v>11</v>
      </c>
      <c r="F40" s="1">
        <v>1</v>
      </c>
      <c r="G40" s="1" t="s">
        <v>16</v>
      </c>
      <c r="H40" s="1">
        <v>0</v>
      </c>
      <c r="I40" s="1">
        <v>0</v>
      </c>
      <c r="J40" s="1" t="s">
        <v>4</v>
      </c>
      <c r="K40" s="1">
        <v>1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3</v>
      </c>
      <c r="Y40" s="1">
        <v>4</v>
      </c>
      <c r="Z40" s="1">
        <v>4</v>
      </c>
      <c r="AA40" s="1">
        <v>5</v>
      </c>
      <c r="AB40" s="1">
        <v>4</v>
      </c>
      <c r="AC40" s="1">
        <v>4</v>
      </c>
      <c r="AD40" s="1">
        <v>2</v>
      </c>
      <c r="AE40" t="s">
        <v>1</v>
      </c>
      <c r="AF40" t="s">
        <v>1</v>
      </c>
      <c r="AG40" t="s">
        <v>1</v>
      </c>
      <c r="AH40" t="s">
        <v>1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</v>
      </c>
      <c r="AP40" s="1" t="s">
        <v>14</v>
      </c>
      <c r="AQ40" s="1">
        <v>1</v>
      </c>
      <c r="AR40" s="1">
        <v>1</v>
      </c>
      <c r="AS40" s="1">
        <v>1</v>
      </c>
      <c r="AT40" s="1">
        <v>0</v>
      </c>
      <c r="AU40" s="1">
        <v>0</v>
      </c>
      <c r="AV40" s="1">
        <v>0</v>
      </c>
      <c r="AW40" s="1" t="s">
        <v>9</v>
      </c>
      <c r="AX40" s="1">
        <v>3</v>
      </c>
      <c r="AY40" s="9">
        <f>AVERAGE(Form_Responses34[[#This Row],[ci_belonging]:[ci_feel_included]])</f>
        <v>3.7142857142857144</v>
      </c>
    </row>
    <row r="41" spans="1:51" ht="22.5" customHeight="1" x14ac:dyDescent="0.3">
      <c r="A41" s="1">
        <v>22</v>
      </c>
      <c r="B41" s="1" t="s">
        <v>8</v>
      </c>
      <c r="C41" s="1" t="s">
        <v>18</v>
      </c>
      <c r="D41" s="1" t="s">
        <v>27</v>
      </c>
      <c r="E41" s="1" t="s">
        <v>5</v>
      </c>
      <c r="F41" s="1">
        <v>2</v>
      </c>
      <c r="G41" s="1" t="s">
        <v>23</v>
      </c>
      <c r="H41" s="1">
        <v>0</v>
      </c>
      <c r="I41" s="1">
        <v>0</v>
      </c>
      <c r="J41" s="1" t="s">
        <v>21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0</v>
      </c>
      <c r="Q41" s="1">
        <v>1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4</v>
      </c>
      <c r="Z41" s="1">
        <v>4</v>
      </c>
      <c r="AA41" s="1">
        <v>3</v>
      </c>
      <c r="AB41" s="1">
        <v>3</v>
      </c>
      <c r="AC41" s="1">
        <v>4</v>
      </c>
      <c r="AD41" s="1">
        <v>3</v>
      </c>
      <c r="AE41" s="1" t="s">
        <v>2</v>
      </c>
      <c r="AF41" s="1" t="s">
        <v>20</v>
      </c>
      <c r="AG41" s="1" t="s">
        <v>28</v>
      </c>
      <c r="AH41" s="1" t="s">
        <v>28</v>
      </c>
      <c r="AI41" s="1">
        <v>0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 t="s">
        <v>2</v>
      </c>
      <c r="AQ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W41" s="1" t="s">
        <v>9</v>
      </c>
      <c r="AX41" s="1">
        <v>3</v>
      </c>
      <c r="AY41" s="9">
        <f>AVERAGE(Form_Responses34[[#This Row],[ci_belonging]:[ci_feel_included]])</f>
        <v>3.5714285714285716</v>
      </c>
    </row>
    <row r="42" spans="1:51" ht="22.5" customHeight="1" x14ac:dyDescent="0.3">
      <c r="A42" s="1">
        <v>23</v>
      </c>
      <c r="B42" s="1" t="s">
        <v>8</v>
      </c>
      <c r="C42" s="1" t="s">
        <v>18</v>
      </c>
      <c r="D42" s="1" t="s">
        <v>17</v>
      </c>
      <c r="E42" s="1" t="s">
        <v>11</v>
      </c>
      <c r="F42" s="1">
        <v>2</v>
      </c>
      <c r="G42" s="1">
        <v>0</v>
      </c>
      <c r="H42" s="1">
        <v>2</v>
      </c>
      <c r="I42" s="1" t="s">
        <v>16</v>
      </c>
      <c r="J42" s="1" t="s">
        <v>4</v>
      </c>
      <c r="K42" s="1">
        <v>1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1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5</v>
      </c>
      <c r="Y42" s="1">
        <v>4</v>
      </c>
      <c r="Z42" s="1">
        <v>4</v>
      </c>
      <c r="AA42" s="1">
        <v>5</v>
      </c>
      <c r="AB42" s="1">
        <v>5</v>
      </c>
      <c r="AC42" s="1">
        <v>4</v>
      </c>
      <c r="AD42" s="1">
        <v>4</v>
      </c>
      <c r="AE42" t="s">
        <v>1</v>
      </c>
      <c r="AF42" t="s">
        <v>1</v>
      </c>
      <c r="AG42" t="s">
        <v>1</v>
      </c>
      <c r="AH42" t="s">
        <v>1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0</v>
      </c>
      <c r="AP42" s="1" t="s">
        <v>2</v>
      </c>
      <c r="AQ42" s="1" t="s">
        <v>1</v>
      </c>
      <c r="AR42" s="1" t="s">
        <v>1</v>
      </c>
      <c r="AS42" s="1" t="s">
        <v>1</v>
      </c>
      <c r="AT42" s="1" t="s">
        <v>1</v>
      </c>
      <c r="AU42" s="1" t="s">
        <v>1</v>
      </c>
      <c r="AV42" s="1" t="s">
        <v>1</v>
      </c>
      <c r="AW42" s="1" t="s">
        <v>9</v>
      </c>
      <c r="AX42" s="1">
        <v>4</v>
      </c>
      <c r="AY42" s="9">
        <f>AVERAGE(Form_Responses34[[#This Row],[ci_belonging]:[ci_feel_included]])</f>
        <v>4.4285714285714288</v>
      </c>
    </row>
    <row r="43" spans="1:51" ht="22.5" customHeight="1" x14ac:dyDescent="0.3">
      <c r="A43" s="1">
        <v>23</v>
      </c>
      <c r="B43" s="1" t="s">
        <v>24</v>
      </c>
      <c r="C43" s="1" t="s">
        <v>18</v>
      </c>
      <c r="D43" s="1" t="s">
        <v>27</v>
      </c>
      <c r="E43" s="1" t="s">
        <v>11</v>
      </c>
      <c r="F43" s="1">
        <v>1</v>
      </c>
      <c r="G43" s="1" t="s">
        <v>16</v>
      </c>
      <c r="H43" s="1">
        <v>0</v>
      </c>
      <c r="I43" s="1">
        <v>0</v>
      </c>
      <c r="J43" s="1" t="s">
        <v>4</v>
      </c>
      <c r="K43" s="1">
        <v>1</v>
      </c>
      <c r="L43" s="1">
        <v>1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t="s">
        <v>1</v>
      </c>
      <c r="AF43" t="s">
        <v>1</v>
      </c>
      <c r="AG43" t="s">
        <v>1</v>
      </c>
      <c r="AH43" t="s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1" t="s">
        <v>2</v>
      </c>
      <c r="AQ43" s="1" t="s">
        <v>1</v>
      </c>
      <c r="AR43" s="1" t="s">
        <v>1</v>
      </c>
      <c r="AS43" s="1" t="s">
        <v>1</v>
      </c>
      <c r="AT43" s="1" t="s">
        <v>1</v>
      </c>
      <c r="AU43" s="1" t="s">
        <v>1</v>
      </c>
      <c r="AV43" s="1" t="s">
        <v>1</v>
      </c>
      <c r="AW43" s="1" t="s">
        <v>9</v>
      </c>
      <c r="AX43" s="1">
        <v>3</v>
      </c>
      <c r="AY43" s="9">
        <f>AVERAGE(Form_Responses34[[#This Row],[ci_belonging]:[ci_feel_included]])</f>
        <v>4</v>
      </c>
    </row>
    <row r="44" spans="1:51" ht="22.5" customHeight="1" x14ac:dyDescent="0.3">
      <c r="A44" s="1">
        <v>23</v>
      </c>
      <c r="B44" s="1" t="s">
        <v>24</v>
      </c>
      <c r="C44" s="1" t="s">
        <v>18</v>
      </c>
      <c r="D44" s="1" t="s">
        <v>27</v>
      </c>
      <c r="E44" s="1" t="s">
        <v>11</v>
      </c>
      <c r="F44" s="1" t="s">
        <v>26</v>
      </c>
      <c r="G44" s="1" t="s">
        <v>25</v>
      </c>
      <c r="H44" s="1">
        <v>0</v>
      </c>
      <c r="I44" s="1" t="s">
        <v>23</v>
      </c>
      <c r="J44" s="1" t="s">
        <v>21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</v>
      </c>
      <c r="Y44" s="1">
        <v>5</v>
      </c>
      <c r="Z44" s="1">
        <v>5</v>
      </c>
      <c r="AA44" s="1">
        <v>5</v>
      </c>
      <c r="AB44" s="1">
        <v>5</v>
      </c>
      <c r="AC44" s="1">
        <v>5</v>
      </c>
      <c r="AD44" s="1">
        <v>5</v>
      </c>
      <c r="AE44" t="s">
        <v>1</v>
      </c>
      <c r="AF44" t="s">
        <v>1</v>
      </c>
      <c r="AG44" t="s">
        <v>1</v>
      </c>
      <c r="AH44" t="s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 s="1" t="s">
        <v>2</v>
      </c>
      <c r="AQ44" s="1" t="s">
        <v>1</v>
      </c>
      <c r="AR44" s="1" t="s">
        <v>1</v>
      </c>
      <c r="AS44" s="1" t="s">
        <v>1</v>
      </c>
      <c r="AT44" s="1" t="s">
        <v>1</v>
      </c>
      <c r="AU44" s="1" t="s">
        <v>1</v>
      </c>
      <c r="AV44" s="1" t="s">
        <v>1</v>
      </c>
      <c r="AW44" s="1" t="s">
        <v>9</v>
      </c>
      <c r="AX44" s="1">
        <v>3</v>
      </c>
      <c r="AY44" s="9">
        <f>AVERAGE(Form_Responses34[[#This Row],[ci_belonging]:[ci_feel_included]])</f>
        <v>5</v>
      </c>
    </row>
    <row r="45" spans="1:51" ht="22.5" customHeight="1" x14ac:dyDescent="0.3">
      <c r="A45" s="1">
        <v>23</v>
      </c>
      <c r="B45" s="1" t="s">
        <v>8</v>
      </c>
      <c r="C45" s="1" t="s">
        <v>18</v>
      </c>
      <c r="D45" s="1" t="s">
        <v>17</v>
      </c>
      <c r="E45" s="1" t="s">
        <v>11</v>
      </c>
      <c r="F45" s="1">
        <v>0</v>
      </c>
      <c r="G45" s="1">
        <v>0</v>
      </c>
      <c r="H45" s="1">
        <v>0</v>
      </c>
      <c r="I45" s="1">
        <v>0</v>
      </c>
      <c r="J45" s="1" t="s">
        <v>4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1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t="s">
        <v>1</v>
      </c>
      <c r="AF45" t="s">
        <v>1</v>
      </c>
      <c r="AG45" t="s">
        <v>1</v>
      </c>
      <c r="AH45" t="s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 s="1" t="s">
        <v>2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9</v>
      </c>
      <c r="AX45" s="1">
        <v>3</v>
      </c>
      <c r="AY45" s="9">
        <f>AVERAGE(Form_Responses34[[#This Row],[ci_belonging]:[ci_feel_included]])</f>
        <v>4</v>
      </c>
    </row>
    <row r="46" spans="1:51" ht="22.5" customHeight="1" x14ac:dyDescent="0.3">
      <c r="A46" s="1">
        <v>23</v>
      </c>
      <c r="B46" s="1" t="s">
        <v>24</v>
      </c>
      <c r="C46" s="1" t="s">
        <v>18</v>
      </c>
      <c r="D46" s="1" t="s">
        <v>17</v>
      </c>
      <c r="E46" s="1" t="s">
        <v>5</v>
      </c>
      <c r="F46" s="1">
        <v>1</v>
      </c>
      <c r="G46" s="1" t="s">
        <v>16</v>
      </c>
      <c r="H46" s="1">
        <v>0</v>
      </c>
      <c r="I46" s="1" t="s">
        <v>16</v>
      </c>
      <c r="J46" s="1" t="s">
        <v>4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3</v>
      </c>
      <c r="Y46" s="1">
        <v>3</v>
      </c>
      <c r="Z46" s="1">
        <v>3</v>
      </c>
      <c r="AA46" s="1">
        <v>3</v>
      </c>
      <c r="AB46" s="1">
        <v>1</v>
      </c>
      <c r="AC46" s="1">
        <v>2</v>
      </c>
      <c r="AD46" s="1">
        <v>3</v>
      </c>
      <c r="AE46" t="s">
        <v>1</v>
      </c>
      <c r="AF46" t="s">
        <v>1</v>
      </c>
      <c r="AG46" t="s">
        <v>1</v>
      </c>
      <c r="AH46" t="s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 s="1" t="s">
        <v>2</v>
      </c>
      <c r="AQ46" s="1" t="s">
        <v>1</v>
      </c>
      <c r="AR46" s="1" t="s">
        <v>1</v>
      </c>
      <c r="AS46" s="1" t="s">
        <v>1</v>
      </c>
      <c r="AT46" s="1" t="s">
        <v>1</v>
      </c>
      <c r="AU46" s="1" t="s">
        <v>1</v>
      </c>
      <c r="AV46" s="1" t="s">
        <v>1</v>
      </c>
      <c r="AW46" s="1" t="s">
        <v>0</v>
      </c>
      <c r="AY46" s="9">
        <f>AVERAGE(Form_Responses34[[#This Row],[ci_belonging]:[ci_feel_included]])</f>
        <v>2.5714285714285716</v>
      </c>
    </row>
    <row r="47" spans="1:51" ht="22.5" customHeight="1" x14ac:dyDescent="0.3">
      <c r="A47" s="1">
        <v>23</v>
      </c>
      <c r="B47" s="1" t="s">
        <v>8</v>
      </c>
      <c r="C47" s="1" t="s">
        <v>18</v>
      </c>
      <c r="D47" s="1" t="s">
        <v>17</v>
      </c>
      <c r="E47" s="1" t="s">
        <v>5</v>
      </c>
      <c r="F47" s="1">
        <v>1</v>
      </c>
      <c r="G47" s="1" t="s">
        <v>23</v>
      </c>
      <c r="H47" s="1">
        <v>1</v>
      </c>
      <c r="I47" s="1" t="s">
        <v>16</v>
      </c>
      <c r="J47" s="1" t="s">
        <v>21</v>
      </c>
      <c r="K47" s="1">
        <v>1</v>
      </c>
      <c r="L47" s="1">
        <v>0</v>
      </c>
      <c r="M47" s="1">
        <v>1</v>
      </c>
      <c r="N47" s="1">
        <v>0</v>
      </c>
      <c r="O47" s="1">
        <v>1</v>
      </c>
      <c r="P47" s="1">
        <v>0</v>
      </c>
      <c r="Q47" s="1">
        <v>1</v>
      </c>
      <c r="R47" s="1">
        <v>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4</v>
      </c>
      <c r="Y47" s="1">
        <v>4</v>
      </c>
      <c r="Z47" s="1">
        <v>4</v>
      </c>
      <c r="AA47" s="1">
        <v>4</v>
      </c>
      <c r="AB47" s="1">
        <v>2</v>
      </c>
      <c r="AC47" s="1">
        <v>4</v>
      </c>
      <c r="AD47" s="1">
        <v>4</v>
      </c>
      <c r="AE47" s="1" t="s">
        <v>2</v>
      </c>
      <c r="AF47" s="1" t="s">
        <v>3</v>
      </c>
      <c r="AG47" s="1" t="s">
        <v>3</v>
      </c>
      <c r="AH47" s="1" t="s">
        <v>3</v>
      </c>
      <c r="AI47" s="1">
        <v>1</v>
      </c>
      <c r="AJ47" s="1">
        <v>1</v>
      </c>
      <c r="AK47" s="1">
        <v>0</v>
      </c>
      <c r="AL47" s="1">
        <v>1</v>
      </c>
      <c r="AM47" s="1">
        <v>0</v>
      </c>
      <c r="AN47" s="1">
        <v>0</v>
      </c>
      <c r="AO47" s="1">
        <v>1</v>
      </c>
      <c r="AP47" s="1" t="s">
        <v>14</v>
      </c>
      <c r="AQ47" s="1">
        <v>1</v>
      </c>
      <c r="AR47" s="1">
        <v>1</v>
      </c>
      <c r="AS47" s="1">
        <v>1</v>
      </c>
      <c r="AT47" s="1">
        <v>0</v>
      </c>
      <c r="AU47" s="1">
        <v>0</v>
      </c>
      <c r="AV47" s="1">
        <v>0</v>
      </c>
      <c r="AW47" s="1" t="s">
        <v>9</v>
      </c>
      <c r="AX47" s="1">
        <v>3</v>
      </c>
      <c r="AY47" s="9">
        <f>AVERAGE(Form_Responses34[[#This Row],[ci_belonging]:[ci_feel_included]])</f>
        <v>3.7142857142857144</v>
      </c>
    </row>
    <row r="48" spans="1:51" ht="22.5" customHeight="1" x14ac:dyDescent="0.3">
      <c r="A48" s="1">
        <v>23</v>
      </c>
      <c r="B48" s="1" t="s">
        <v>8</v>
      </c>
      <c r="C48" s="1" t="s">
        <v>7</v>
      </c>
      <c r="D48" s="1" t="s">
        <v>22</v>
      </c>
      <c r="E48" s="1" t="s">
        <v>11</v>
      </c>
      <c r="F48" s="1">
        <v>0</v>
      </c>
      <c r="G48" s="1">
        <v>0</v>
      </c>
      <c r="H48" s="1">
        <v>0</v>
      </c>
      <c r="I48" s="1">
        <v>0</v>
      </c>
      <c r="J48" s="1" t="s">
        <v>4</v>
      </c>
      <c r="K48" s="1">
        <v>1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5</v>
      </c>
      <c r="Y48" s="1">
        <v>5</v>
      </c>
      <c r="Z48" s="1">
        <v>5</v>
      </c>
      <c r="AA48" s="1">
        <v>5</v>
      </c>
      <c r="AB48" s="1">
        <v>4</v>
      </c>
      <c r="AC48" s="1">
        <v>5</v>
      </c>
      <c r="AD48" s="1">
        <v>4</v>
      </c>
      <c r="AE48" t="s">
        <v>1</v>
      </c>
      <c r="AF48" t="s">
        <v>1</v>
      </c>
      <c r="AG48" t="s">
        <v>1</v>
      </c>
      <c r="AH48" t="s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 s="1" t="s">
        <v>2</v>
      </c>
      <c r="AQ48" s="1" t="s">
        <v>1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</v>
      </c>
      <c r="AW48" s="1" t="s">
        <v>9</v>
      </c>
      <c r="AY48" s="9">
        <f>AVERAGE(Form_Responses34[[#This Row],[ci_belonging]:[ci_feel_included]])</f>
        <v>4.7142857142857144</v>
      </c>
    </row>
    <row r="49" spans="1:51" ht="22.5" customHeight="1" x14ac:dyDescent="0.3">
      <c r="A49" s="1">
        <v>24</v>
      </c>
      <c r="B49" s="1" t="s">
        <v>8</v>
      </c>
      <c r="C49" s="1" t="s">
        <v>7</v>
      </c>
      <c r="D49" s="1" t="s">
        <v>22</v>
      </c>
      <c r="E49" s="1" t="s">
        <v>11</v>
      </c>
      <c r="F49" s="1">
        <v>0</v>
      </c>
      <c r="G49" s="1">
        <v>0</v>
      </c>
      <c r="H49" s="1">
        <v>0</v>
      </c>
      <c r="I49" s="1">
        <v>0</v>
      </c>
      <c r="J49" s="1" t="s">
        <v>4</v>
      </c>
      <c r="K49" s="1">
        <v>1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4</v>
      </c>
      <c r="Y49" s="1">
        <v>4</v>
      </c>
      <c r="Z49" s="1">
        <v>4</v>
      </c>
      <c r="AA49" s="1">
        <v>5</v>
      </c>
      <c r="AB49" s="1">
        <v>4</v>
      </c>
      <c r="AC49" s="1">
        <v>4</v>
      </c>
      <c r="AD49" s="1">
        <v>4</v>
      </c>
      <c r="AE49" t="s">
        <v>1</v>
      </c>
      <c r="AF49" t="s">
        <v>1</v>
      </c>
      <c r="AG49" t="s">
        <v>1</v>
      </c>
      <c r="AH49" t="s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 s="1" t="s">
        <v>2</v>
      </c>
      <c r="AQ49" s="1" t="s">
        <v>1</v>
      </c>
      <c r="AR49" s="1" t="s">
        <v>1</v>
      </c>
      <c r="AS49" s="1" t="s">
        <v>1</v>
      </c>
      <c r="AT49" s="1" t="s">
        <v>1</v>
      </c>
      <c r="AU49" s="1" t="s">
        <v>1</v>
      </c>
      <c r="AV49" s="1" t="s">
        <v>1</v>
      </c>
      <c r="AW49" s="1" t="s">
        <v>9</v>
      </c>
      <c r="AX49" s="1">
        <v>3</v>
      </c>
      <c r="AY49" s="9">
        <f>AVERAGE(Form_Responses34[[#This Row],[ci_belonging]:[ci_feel_included]])</f>
        <v>4.1428571428571432</v>
      </c>
    </row>
    <row r="50" spans="1:51" ht="22.5" customHeight="1" x14ac:dyDescent="0.3">
      <c r="A50" s="1">
        <v>23</v>
      </c>
      <c r="B50" s="1" t="s">
        <v>24</v>
      </c>
      <c r="C50" s="1" t="s">
        <v>18</v>
      </c>
      <c r="D50" s="1" t="s">
        <v>6</v>
      </c>
      <c r="E50" s="1" t="s">
        <v>11</v>
      </c>
      <c r="F50" s="1">
        <v>0</v>
      </c>
      <c r="G50" s="1" t="s">
        <v>16</v>
      </c>
      <c r="H50" s="1">
        <v>0</v>
      </c>
      <c r="I50" s="1" t="s">
        <v>23</v>
      </c>
      <c r="J50" s="1" t="s">
        <v>4</v>
      </c>
      <c r="K50" s="1">
        <v>0</v>
      </c>
      <c r="L50" s="1">
        <v>1</v>
      </c>
      <c r="M50" s="1">
        <v>1</v>
      </c>
      <c r="N50" s="1">
        <v>0</v>
      </c>
      <c r="O50" s="1">
        <v>1</v>
      </c>
      <c r="P50" s="1">
        <v>0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1</v>
      </c>
      <c r="W50" s="1">
        <v>0</v>
      </c>
      <c r="X50" s="1">
        <v>4</v>
      </c>
      <c r="Y50" s="1">
        <v>3</v>
      </c>
      <c r="Z50" s="1">
        <v>2</v>
      </c>
      <c r="AA50" s="1">
        <v>4</v>
      </c>
      <c r="AB50" s="1">
        <v>4</v>
      </c>
      <c r="AC50" s="1">
        <v>4</v>
      </c>
      <c r="AD50" s="1">
        <v>2</v>
      </c>
      <c r="AE50" t="s">
        <v>1</v>
      </c>
      <c r="AF50" t="s">
        <v>1</v>
      </c>
      <c r="AG50" t="s">
        <v>1</v>
      </c>
      <c r="AH50" t="s">
        <v>1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0</v>
      </c>
      <c r="AO50">
        <v>0</v>
      </c>
      <c r="AP50" s="1" t="s">
        <v>10</v>
      </c>
      <c r="AQ50" s="1">
        <v>1</v>
      </c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 t="s">
        <v>0</v>
      </c>
      <c r="AY50" s="9">
        <f>AVERAGE(Form_Responses34[[#This Row],[ci_belonging]:[ci_feel_included]])</f>
        <v>3.2857142857142856</v>
      </c>
    </row>
    <row r="51" spans="1:51" ht="22.5" customHeight="1" x14ac:dyDescent="0.3">
      <c r="A51" s="1">
        <v>23</v>
      </c>
      <c r="B51" s="1" t="s">
        <v>8</v>
      </c>
      <c r="C51" s="1" t="s">
        <v>18</v>
      </c>
      <c r="D51" s="1" t="s">
        <v>6</v>
      </c>
      <c r="E51" s="1" t="s">
        <v>11</v>
      </c>
      <c r="F51" s="1">
        <v>0</v>
      </c>
      <c r="G51" s="1">
        <v>0</v>
      </c>
      <c r="H51" s="1">
        <v>0</v>
      </c>
      <c r="I51" s="1" t="s">
        <v>23</v>
      </c>
      <c r="J51" s="1" t="s">
        <v>4</v>
      </c>
      <c r="K51" s="1">
        <v>1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1</v>
      </c>
      <c r="V51" s="1">
        <v>1</v>
      </c>
      <c r="W51" s="1">
        <v>0</v>
      </c>
      <c r="X51" s="1">
        <v>1</v>
      </c>
      <c r="Y51" s="1">
        <v>2</v>
      </c>
      <c r="Z51" s="1">
        <v>1</v>
      </c>
      <c r="AA51" s="1">
        <v>1</v>
      </c>
      <c r="AB51" s="1">
        <v>3</v>
      </c>
      <c r="AC51" s="1">
        <v>1</v>
      </c>
      <c r="AD51" s="1">
        <v>1</v>
      </c>
      <c r="AE51" t="s">
        <v>1</v>
      </c>
      <c r="AF51" t="s">
        <v>1</v>
      </c>
      <c r="AG51" t="s">
        <v>1</v>
      </c>
      <c r="AH51" t="s">
        <v>1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0</v>
      </c>
      <c r="AP51" s="1" t="s">
        <v>2</v>
      </c>
      <c r="AQ51" s="1" t="s">
        <v>1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W51" s="1" t="s">
        <v>0</v>
      </c>
      <c r="AY51" s="9">
        <f>AVERAGE(Form_Responses34[[#This Row],[ci_belonging]:[ci_feel_included]])</f>
        <v>1.4285714285714286</v>
      </c>
    </row>
    <row r="52" spans="1:51" ht="22.5" customHeight="1" x14ac:dyDescent="0.3">
      <c r="A52" s="1">
        <v>24</v>
      </c>
      <c r="B52" s="1" t="s">
        <v>8</v>
      </c>
      <c r="C52" s="1" t="s">
        <v>7</v>
      </c>
      <c r="D52" s="1" t="s">
        <v>22</v>
      </c>
      <c r="E52" s="1" t="s">
        <v>5</v>
      </c>
      <c r="F52" s="1">
        <v>2</v>
      </c>
      <c r="G52" s="1" t="s">
        <v>16</v>
      </c>
      <c r="H52" s="1">
        <v>0</v>
      </c>
      <c r="I52" s="1">
        <v>0</v>
      </c>
      <c r="J52" s="1" t="s">
        <v>21</v>
      </c>
      <c r="K52" s="1">
        <v>1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3</v>
      </c>
      <c r="Y52" s="1">
        <v>3</v>
      </c>
      <c r="Z52" s="1">
        <v>3</v>
      </c>
      <c r="AA52" s="1">
        <v>3</v>
      </c>
      <c r="AB52" s="1">
        <v>4</v>
      </c>
      <c r="AC52" s="1">
        <v>4</v>
      </c>
      <c r="AD52" s="1">
        <v>3</v>
      </c>
      <c r="AE52" s="1" t="s">
        <v>2</v>
      </c>
      <c r="AF52" s="1" t="s">
        <v>19</v>
      </c>
      <c r="AG52" s="1" t="s">
        <v>20</v>
      </c>
      <c r="AH52" s="1" t="s">
        <v>20</v>
      </c>
      <c r="AI52" s="1">
        <v>0</v>
      </c>
      <c r="AJ52" s="1">
        <v>1</v>
      </c>
      <c r="AK52" s="1">
        <v>0</v>
      </c>
      <c r="AL52" s="1">
        <v>1</v>
      </c>
      <c r="AM52" s="1">
        <v>0</v>
      </c>
      <c r="AN52" s="1">
        <v>1</v>
      </c>
      <c r="AO52" s="1">
        <v>1</v>
      </c>
      <c r="AP52" s="1" t="s">
        <v>2</v>
      </c>
      <c r="AQ52" s="1" t="s">
        <v>1</v>
      </c>
      <c r="AR52" s="1" t="s">
        <v>1</v>
      </c>
      <c r="AS52" s="1" t="s">
        <v>1</v>
      </c>
      <c r="AT52" s="1" t="s">
        <v>1</v>
      </c>
      <c r="AU52" s="1" t="s">
        <v>1</v>
      </c>
      <c r="AV52" s="1" t="s">
        <v>1</v>
      </c>
      <c r="AW52" s="1" t="s">
        <v>9</v>
      </c>
      <c r="AX52" s="1">
        <v>5</v>
      </c>
      <c r="AY52" s="9">
        <f>AVERAGE(Form_Responses34[[#This Row],[ci_belonging]:[ci_feel_included]])</f>
        <v>3.2857142857142856</v>
      </c>
    </row>
    <row r="53" spans="1:51" ht="22.5" customHeight="1" x14ac:dyDescent="0.3">
      <c r="A53" s="1">
        <v>24</v>
      </c>
      <c r="B53" s="1" t="s">
        <v>8</v>
      </c>
      <c r="C53" s="1" t="s">
        <v>12</v>
      </c>
      <c r="D53" s="1" t="s">
        <v>6</v>
      </c>
      <c r="E53" s="1" t="s">
        <v>5</v>
      </c>
      <c r="F53" s="1">
        <v>2</v>
      </c>
      <c r="G53" s="1" t="s">
        <v>16</v>
      </c>
      <c r="H53" s="1">
        <v>0</v>
      </c>
      <c r="I53" s="1" t="s">
        <v>16</v>
      </c>
      <c r="J53" s="1" t="s">
        <v>4</v>
      </c>
      <c r="K53" s="1">
        <v>1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0</v>
      </c>
      <c r="U53" s="1">
        <v>0</v>
      </c>
      <c r="V53" s="1">
        <v>1</v>
      </c>
      <c r="W53" s="1">
        <v>0</v>
      </c>
      <c r="X53" s="1">
        <v>4</v>
      </c>
      <c r="Y53" s="1">
        <v>4</v>
      </c>
      <c r="Z53" s="1">
        <v>4</v>
      </c>
      <c r="AA53" s="1">
        <v>4</v>
      </c>
      <c r="AB53" s="1">
        <v>4</v>
      </c>
      <c r="AC53" s="1">
        <v>4</v>
      </c>
      <c r="AD53" s="1">
        <v>3</v>
      </c>
      <c r="AE53" s="1" t="s">
        <v>2</v>
      </c>
      <c r="AF53" s="1" t="s">
        <v>3</v>
      </c>
      <c r="AG53" s="1" t="s">
        <v>3</v>
      </c>
      <c r="AH53" s="1" t="s">
        <v>19</v>
      </c>
      <c r="AI53" s="1">
        <v>0</v>
      </c>
      <c r="AJ53" s="1">
        <v>1</v>
      </c>
      <c r="AK53" s="1">
        <v>0</v>
      </c>
      <c r="AL53" s="1">
        <v>0</v>
      </c>
      <c r="AM53" s="1">
        <v>0</v>
      </c>
      <c r="AN53" s="1">
        <v>1</v>
      </c>
      <c r="AO53" s="1">
        <v>1</v>
      </c>
      <c r="AP53" s="1" t="s">
        <v>14</v>
      </c>
      <c r="AQ53" s="1">
        <v>1</v>
      </c>
      <c r="AR53" s="1">
        <v>0</v>
      </c>
      <c r="AS53" s="1">
        <v>1</v>
      </c>
      <c r="AT53" s="1">
        <v>0</v>
      </c>
      <c r="AU53" s="1">
        <v>0</v>
      </c>
      <c r="AV53" s="1">
        <v>1</v>
      </c>
      <c r="AW53" s="1" t="s">
        <v>9</v>
      </c>
      <c r="AX53" s="1">
        <v>4</v>
      </c>
      <c r="AY53" s="9">
        <f>AVERAGE(Form_Responses34[[#This Row],[ci_belonging]:[ci_feel_included]])</f>
        <v>3.8571428571428572</v>
      </c>
    </row>
    <row r="54" spans="1:51" ht="22.5" customHeight="1" x14ac:dyDescent="0.3">
      <c r="A54" s="1">
        <v>23</v>
      </c>
      <c r="B54" s="1" t="s">
        <v>8</v>
      </c>
      <c r="C54" s="1" t="s">
        <v>7</v>
      </c>
      <c r="D54" s="1" t="s">
        <v>6</v>
      </c>
      <c r="E54" s="1" t="s">
        <v>11</v>
      </c>
      <c r="F54" s="1">
        <v>2</v>
      </c>
      <c r="G54" s="1">
        <v>0</v>
      </c>
      <c r="H54" s="1">
        <v>0</v>
      </c>
      <c r="I54" s="1">
        <v>0</v>
      </c>
      <c r="J54" s="1" t="s">
        <v>15</v>
      </c>
      <c r="K54" s="1">
        <v>0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3</v>
      </c>
      <c r="Y54" s="1">
        <v>3</v>
      </c>
      <c r="Z54" s="1">
        <v>2</v>
      </c>
      <c r="AA54" s="1">
        <v>3</v>
      </c>
      <c r="AB54" s="1">
        <v>2</v>
      </c>
      <c r="AC54" s="1">
        <v>2</v>
      </c>
      <c r="AD54" s="1">
        <v>2</v>
      </c>
      <c r="AE54" t="s">
        <v>1</v>
      </c>
      <c r="AF54" t="s">
        <v>1</v>
      </c>
      <c r="AG54" t="s">
        <v>1</v>
      </c>
      <c r="AH54" t="s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1" t="s">
        <v>10</v>
      </c>
      <c r="AQ54" s="1">
        <v>0</v>
      </c>
      <c r="AR54" s="1">
        <v>0</v>
      </c>
      <c r="AS54" s="1">
        <v>1</v>
      </c>
      <c r="AT54" s="1">
        <v>1</v>
      </c>
      <c r="AU54" s="1">
        <v>0</v>
      </c>
      <c r="AV54" s="1">
        <v>0</v>
      </c>
      <c r="AW54" s="1" t="s">
        <v>9</v>
      </c>
      <c r="AX54" s="1">
        <v>2</v>
      </c>
      <c r="AY54" s="9">
        <f>AVERAGE(Form_Responses34[[#This Row],[ci_belonging]:[ci_feel_included]])</f>
        <v>2.4285714285714284</v>
      </c>
    </row>
    <row r="55" spans="1:51" ht="22.5" customHeight="1" x14ac:dyDescent="0.3">
      <c r="A55" s="1">
        <v>24</v>
      </c>
      <c r="B55" s="1" t="s">
        <v>8</v>
      </c>
      <c r="C55" s="1" t="s">
        <v>18</v>
      </c>
      <c r="D55" s="1" t="s">
        <v>17</v>
      </c>
      <c r="E55" s="1" t="s">
        <v>11</v>
      </c>
      <c r="F55" s="1">
        <v>1</v>
      </c>
      <c r="G55" s="1" t="s">
        <v>16</v>
      </c>
      <c r="H55" s="1">
        <v>0</v>
      </c>
      <c r="I55" s="1" t="s">
        <v>16</v>
      </c>
      <c r="J55" s="1" t="s">
        <v>15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2</v>
      </c>
      <c r="Y55" s="1">
        <v>2</v>
      </c>
      <c r="Z55" s="1">
        <v>4</v>
      </c>
      <c r="AA55" s="1">
        <v>2</v>
      </c>
      <c r="AB55" s="1">
        <v>4</v>
      </c>
      <c r="AC55" s="1">
        <v>2</v>
      </c>
      <c r="AD55" s="1">
        <v>1</v>
      </c>
      <c r="AE55" t="s">
        <v>1</v>
      </c>
      <c r="AF55" t="s">
        <v>1</v>
      </c>
      <c r="AG55" t="s">
        <v>1</v>
      </c>
      <c r="AH55" t="s">
        <v>1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 s="1" t="s">
        <v>14</v>
      </c>
      <c r="AQ55" s="1">
        <v>1</v>
      </c>
      <c r="AR55" s="1">
        <v>0</v>
      </c>
      <c r="AS55" s="1">
        <v>1</v>
      </c>
      <c r="AT55" s="1">
        <v>1</v>
      </c>
      <c r="AU55" s="1">
        <v>0</v>
      </c>
      <c r="AV55" s="1">
        <v>0</v>
      </c>
      <c r="AW55" s="1" t="s">
        <v>9</v>
      </c>
      <c r="AX55" s="1">
        <v>3</v>
      </c>
      <c r="AY55" s="9">
        <f>AVERAGE(Form_Responses34[[#This Row],[ci_belonging]:[ci_feel_included]])</f>
        <v>2.4285714285714284</v>
      </c>
    </row>
    <row r="56" spans="1:51" ht="22.5" customHeight="1" x14ac:dyDescent="0.3">
      <c r="A56" s="1">
        <v>23</v>
      </c>
      <c r="B56" s="1" t="s">
        <v>8</v>
      </c>
      <c r="C56" s="1" t="s">
        <v>7</v>
      </c>
      <c r="D56" s="1" t="s">
        <v>6</v>
      </c>
      <c r="E56" s="1" t="s">
        <v>11</v>
      </c>
      <c r="F56" s="1">
        <v>1</v>
      </c>
      <c r="G56" s="1" t="s">
        <v>13</v>
      </c>
      <c r="H56" s="1">
        <v>0</v>
      </c>
      <c r="I56" s="1" t="s">
        <v>13</v>
      </c>
      <c r="J56" s="1" t="s">
        <v>4</v>
      </c>
      <c r="K56" s="1">
        <v>1</v>
      </c>
      <c r="L56" s="1">
        <v>1</v>
      </c>
      <c r="M56" s="1">
        <v>1</v>
      </c>
      <c r="N56" s="1">
        <v>1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5</v>
      </c>
      <c r="Y56" s="1">
        <v>5</v>
      </c>
      <c r="Z56" s="1">
        <v>5</v>
      </c>
      <c r="AA56" s="1">
        <v>5</v>
      </c>
      <c r="AB56" s="1">
        <v>5</v>
      </c>
      <c r="AC56" s="1">
        <v>5</v>
      </c>
      <c r="AD56" s="1">
        <v>5</v>
      </c>
      <c r="AE56" t="s">
        <v>1</v>
      </c>
      <c r="AF56" t="s">
        <v>1</v>
      </c>
      <c r="AG56" t="s">
        <v>1</v>
      </c>
      <c r="AH56" t="s">
        <v>1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1</v>
      </c>
      <c r="AP56" s="1" t="s">
        <v>2</v>
      </c>
      <c r="AQ56" s="1" t="s">
        <v>1</v>
      </c>
      <c r="AR56" s="1" t="s">
        <v>1</v>
      </c>
      <c r="AS56" s="1" t="s">
        <v>1</v>
      </c>
      <c r="AT56" s="1" t="s">
        <v>1</v>
      </c>
      <c r="AU56" s="1" t="s">
        <v>1</v>
      </c>
      <c r="AV56" s="1" t="s">
        <v>1</v>
      </c>
      <c r="AW56" s="1" t="s">
        <v>9</v>
      </c>
      <c r="AY56" s="9">
        <f>AVERAGE(Form_Responses34[[#This Row],[ci_belonging]:[ci_feel_included]])</f>
        <v>5</v>
      </c>
    </row>
    <row r="57" spans="1:51" ht="22.5" customHeight="1" x14ac:dyDescent="0.3">
      <c r="A57" s="1">
        <v>23</v>
      </c>
      <c r="B57" s="1" t="s">
        <v>8</v>
      </c>
      <c r="C57" s="1" t="s">
        <v>12</v>
      </c>
      <c r="D57" s="1" t="s">
        <v>6</v>
      </c>
      <c r="E57" s="1" t="s">
        <v>11</v>
      </c>
      <c r="F57" s="1">
        <v>0</v>
      </c>
      <c r="G57" s="1">
        <v>0</v>
      </c>
      <c r="H57" s="1">
        <v>0</v>
      </c>
      <c r="I57" s="1">
        <v>0</v>
      </c>
      <c r="J57" s="1" t="s">
        <v>4</v>
      </c>
      <c r="K57" s="1">
        <v>0</v>
      </c>
      <c r="L57" s="1">
        <v>0</v>
      </c>
      <c r="M57" s="1">
        <v>1</v>
      </c>
      <c r="N57" s="1">
        <v>0</v>
      </c>
      <c r="O57" s="1">
        <v>1</v>
      </c>
      <c r="P57" s="1">
        <v>0</v>
      </c>
      <c r="Q57" s="1">
        <v>1</v>
      </c>
      <c r="R57" s="1">
        <v>1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2</v>
      </c>
      <c r="Y57" s="1">
        <v>3</v>
      </c>
      <c r="Z57" s="1">
        <v>3</v>
      </c>
      <c r="AA57" s="1">
        <v>3</v>
      </c>
      <c r="AB57" s="1">
        <v>2</v>
      </c>
      <c r="AC57" s="1">
        <v>3</v>
      </c>
      <c r="AD57" s="1">
        <v>2</v>
      </c>
      <c r="AE57" t="s">
        <v>1</v>
      </c>
      <c r="AF57" t="s">
        <v>1</v>
      </c>
      <c r="AG57" t="s">
        <v>1</v>
      </c>
      <c r="AH57" t="s">
        <v>1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1</v>
      </c>
      <c r="AP57" s="1" t="s">
        <v>10</v>
      </c>
      <c r="AQ57" s="1">
        <v>0</v>
      </c>
      <c r="AR57" s="1">
        <v>0</v>
      </c>
      <c r="AS57" s="1">
        <v>1</v>
      </c>
      <c r="AT57" s="1">
        <v>1</v>
      </c>
      <c r="AU57" s="1">
        <v>0</v>
      </c>
      <c r="AV57" s="1">
        <v>1</v>
      </c>
      <c r="AW57" s="1" t="s">
        <v>9</v>
      </c>
      <c r="AX57" s="1">
        <v>2</v>
      </c>
      <c r="AY57" s="9">
        <f>AVERAGE(Form_Responses34[[#This Row],[ci_belonging]:[ci_feel_included]])</f>
        <v>2.5714285714285716</v>
      </c>
    </row>
    <row r="58" spans="1:51" ht="22.5" customHeight="1" x14ac:dyDescent="0.3">
      <c r="A58" s="1">
        <v>23</v>
      </c>
      <c r="B58" s="1" t="s">
        <v>8</v>
      </c>
      <c r="C58" s="1" t="s">
        <v>7</v>
      </c>
      <c r="D58" s="1" t="s">
        <v>6</v>
      </c>
      <c r="E58" s="1" t="s">
        <v>5</v>
      </c>
      <c r="F58" s="1">
        <v>2</v>
      </c>
      <c r="G58" s="1">
        <v>0</v>
      </c>
      <c r="H58" s="1">
        <v>1</v>
      </c>
      <c r="I58" s="1">
        <v>0</v>
      </c>
      <c r="J58" s="1" t="s">
        <v>4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1</v>
      </c>
      <c r="W58" s="1">
        <v>0</v>
      </c>
      <c r="X58" s="1">
        <v>4</v>
      </c>
      <c r="Y58" s="1">
        <v>3</v>
      </c>
      <c r="Z58" s="1">
        <v>3</v>
      </c>
      <c r="AA58" s="1">
        <v>2</v>
      </c>
      <c r="AB58" s="1">
        <v>4</v>
      </c>
      <c r="AC58" s="1">
        <v>1</v>
      </c>
      <c r="AD58" s="1">
        <v>2</v>
      </c>
      <c r="AE58" s="1" t="s">
        <v>2</v>
      </c>
      <c r="AF58" s="1" t="s">
        <v>3</v>
      </c>
      <c r="AG58" s="1" t="s">
        <v>3</v>
      </c>
      <c r="AH58" s="1" t="s">
        <v>3</v>
      </c>
      <c r="AI58" s="1">
        <v>1</v>
      </c>
      <c r="AJ58" s="1">
        <v>1</v>
      </c>
      <c r="AK58" s="1">
        <v>0</v>
      </c>
      <c r="AL58" s="1">
        <v>1</v>
      </c>
      <c r="AM58" s="1">
        <v>0</v>
      </c>
      <c r="AN58" s="1">
        <v>1</v>
      </c>
      <c r="AO58" s="1">
        <v>1</v>
      </c>
      <c r="AP58" s="1" t="s">
        <v>2</v>
      </c>
      <c r="AQ58" s="1" t="s">
        <v>1</v>
      </c>
      <c r="AR58" s="1" t="s">
        <v>1</v>
      </c>
      <c r="AS58" s="1" t="s">
        <v>1</v>
      </c>
      <c r="AT58" s="1" t="s">
        <v>1</v>
      </c>
      <c r="AU58" s="1" t="s">
        <v>1</v>
      </c>
      <c r="AV58" s="1" t="s">
        <v>1</v>
      </c>
      <c r="AW58" s="1" t="s">
        <v>0</v>
      </c>
      <c r="AY58" s="9">
        <f>AVERAGE(Form_Responses34[[#This Row],[ci_belonging]:[ci_feel_included]])</f>
        <v>2.7142857142857144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2025-12-27T19:34:13Z</dcterms:created>
  <dcterms:modified xsi:type="dcterms:W3CDTF">2025-12-28T11:28:15Z</dcterms:modified>
</cp:coreProperties>
</file>