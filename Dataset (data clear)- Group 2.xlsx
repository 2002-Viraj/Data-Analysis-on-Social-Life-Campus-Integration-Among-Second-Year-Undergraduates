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:\Other computers\My Laptop\ISMF\Level 3 Semester 2\IS 3005 - Statistics in Practice\Group 2C Analysis\"/>
    </mc:Choice>
  </mc:AlternateContent>
  <xr:revisionPtr revIDLastSave="0" documentId="13_ncr:1_{12BA585F-65FF-49DF-BC17-666DE5BB7C4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 Backup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6" i="2" l="1"/>
  <c r="AX6" i="2"/>
  <c r="AY6" i="2"/>
  <c r="AZ6" i="2"/>
  <c r="BA6" i="2"/>
  <c r="BB6" i="2"/>
  <c r="AW7" i="2"/>
  <c r="AX7" i="2"/>
  <c r="AY7" i="2"/>
  <c r="AZ7" i="2"/>
  <c r="BA7" i="2"/>
  <c r="BB7" i="2"/>
  <c r="AW9" i="2"/>
  <c r="AX9" i="2"/>
  <c r="AY9" i="2"/>
  <c r="AZ9" i="2"/>
  <c r="BA9" i="2"/>
  <c r="BB9" i="2"/>
  <c r="AW10" i="2"/>
  <c r="AX10" i="2"/>
  <c r="AY10" i="2"/>
  <c r="AZ10" i="2"/>
  <c r="BA10" i="2"/>
  <c r="BB10" i="2"/>
  <c r="AW11" i="2"/>
  <c r="AX11" i="2"/>
  <c r="AY11" i="2"/>
  <c r="AZ11" i="2"/>
  <c r="BA11" i="2"/>
  <c r="BB11" i="2"/>
  <c r="AW12" i="2"/>
  <c r="AX12" i="2"/>
  <c r="AY12" i="2"/>
  <c r="AZ12" i="2"/>
  <c r="BA12" i="2"/>
  <c r="BB12" i="2"/>
  <c r="AW14" i="2"/>
  <c r="AX14" i="2"/>
  <c r="AY14" i="2"/>
  <c r="AZ14" i="2"/>
  <c r="BA14" i="2"/>
  <c r="BB14" i="2"/>
  <c r="AW15" i="2"/>
  <c r="AX15" i="2"/>
  <c r="AY15" i="2"/>
  <c r="AZ15" i="2"/>
  <c r="BA15" i="2"/>
  <c r="BB15" i="2"/>
  <c r="AW16" i="2"/>
  <c r="AX16" i="2"/>
  <c r="AY16" i="2"/>
  <c r="AZ16" i="2"/>
  <c r="BA16" i="2"/>
  <c r="BB16" i="2"/>
  <c r="AW18" i="2"/>
  <c r="AX18" i="2"/>
  <c r="AY18" i="2"/>
  <c r="AZ18" i="2"/>
  <c r="BA18" i="2"/>
  <c r="BB18" i="2"/>
  <c r="AW19" i="2"/>
  <c r="AX19" i="2"/>
  <c r="AY19" i="2"/>
  <c r="AZ19" i="2"/>
  <c r="BA19" i="2"/>
  <c r="BB19" i="2"/>
  <c r="AW21" i="2"/>
  <c r="AX21" i="2"/>
  <c r="AY21" i="2"/>
  <c r="AZ21" i="2"/>
  <c r="BA21" i="2"/>
  <c r="BB21" i="2"/>
  <c r="AW22" i="2"/>
  <c r="AX22" i="2"/>
  <c r="AY22" i="2"/>
  <c r="AZ22" i="2"/>
  <c r="BA22" i="2"/>
  <c r="BB22" i="2"/>
  <c r="AW24" i="2"/>
  <c r="AX24" i="2"/>
  <c r="AY24" i="2"/>
  <c r="AZ24" i="2"/>
  <c r="BA24" i="2"/>
  <c r="BB24" i="2"/>
  <c r="AW32" i="2"/>
  <c r="AX32" i="2"/>
  <c r="AY32" i="2"/>
  <c r="AZ32" i="2"/>
  <c r="BA32" i="2"/>
  <c r="BB32" i="2"/>
  <c r="AW33" i="2"/>
  <c r="AX33" i="2"/>
  <c r="AY33" i="2"/>
  <c r="AZ33" i="2"/>
  <c r="BA33" i="2"/>
  <c r="BB33" i="2"/>
  <c r="AW34" i="2"/>
  <c r="AX34" i="2"/>
  <c r="AY34" i="2"/>
  <c r="AZ34" i="2"/>
  <c r="BA34" i="2"/>
  <c r="BB34" i="2"/>
  <c r="AW38" i="2"/>
  <c r="AX38" i="2"/>
  <c r="AY38" i="2"/>
  <c r="AZ38" i="2"/>
  <c r="BA38" i="2"/>
  <c r="BB38" i="2"/>
  <c r="AW40" i="2"/>
  <c r="AX40" i="2"/>
  <c r="AY40" i="2"/>
  <c r="AZ40" i="2"/>
  <c r="BA40" i="2"/>
  <c r="BB40" i="2"/>
  <c r="AW42" i="2"/>
  <c r="AX42" i="2"/>
  <c r="AY42" i="2"/>
  <c r="AZ42" i="2"/>
  <c r="BA42" i="2"/>
  <c r="BB42" i="2"/>
  <c r="AW48" i="2"/>
  <c r="AX48" i="2"/>
  <c r="AY48" i="2"/>
  <c r="AZ48" i="2"/>
  <c r="BA48" i="2"/>
  <c r="BB48" i="2"/>
  <c r="AW51" i="2"/>
  <c r="AX51" i="2"/>
  <c r="AY51" i="2"/>
  <c r="AZ51" i="2"/>
  <c r="BA51" i="2"/>
  <c r="BB51" i="2"/>
  <c r="AW54" i="2"/>
  <c r="AX54" i="2"/>
  <c r="AY54" i="2"/>
  <c r="AZ54" i="2"/>
  <c r="BA54" i="2"/>
  <c r="BB54" i="2"/>
  <c r="AW55" i="2"/>
  <c r="AX55" i="2"/>
  <c r="AY55" i="2"/>
  <c r="AZ55" i="2"/>
  <c r="BA55" i="2"/>
  <c r="BB55" i="2"/>
  <c r="AW56" i="2"/>
  <c r="AX56" i="2"/>
  <c r="AY56" i="2"/>
  <c r="AZ56" i="2"/>
  <c r="BA56" i="2"/>
  <c r="BB56" i="2"/>
  <c r="AW58" i="2"/>
  <c r="AX58" i="2"/>
  <c r="AY58" i="2"/>
  <c r="AZ58" i="2"/>
  <c r="BA58" i="2"/>
  <c r="BB58" i="2"/>
  <c r="BB4" i="2"/>
  <c r="BA4" i="2"/>
  <c r="AZ4" i="2"/>
  <c r="AY4" i="2"/>
  <c r="AX4" i="2"/>
  <c r="AW4" i="2"/>
  <c r="AS3" i="2"/>
  <c r="AS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R2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Q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P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O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T2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S2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V3" i="2"/>
  <c r="V2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U3" i="2"/>
  <c r="U2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Z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O46" i="2"/>
  <c r="M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7" i="2"/>
  <c r="O48" i="2"/>
  <c r="O49" i="2"/>
  <c r="O50" i="2"/>
  <c r="O52" i="2"/>
  <c r="O53" i="2"/>
  <c r="O54" i="2"/>
  <c r="O55" i="2"/>
  <c r="O56" i="2"/>
  <c r="O57" i="2"/>
  <c r="O58" i="2"/>
  <c r="O59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2" i="2"/>
  <c r="N53" i="2"/>
  <c r="N54" i="2"/>
  <c r="N55" i="2"/>
  <c r="N56" i="2"/>
  <c r="N57" i="2"/>
  <c r="N58" i="2"/>
  <c r="N59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2" i="2"/>
  <c r="M53" i="2"/>
  <c r="M54" i="2"/>
  <c r="M55" i="2"/>
  <c r="M56" i="2"/>
  <c r="M57" i="2"/>
  <c r="M58" i="2"/>
  <c r="M59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2" i="2"/>
  <c r="L53" i="2"/>
  <c r="L54" i="2"/>
  <c r="L55" i="2"/>
  <c r="L56" i="2"/>
  <c r="L57" i="2"/>
  <c r="L58" i="2"/>
  <c r="L59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2" i="2"/>
  <c r="K53" i="2"/>
  <c r="K54" i="2"/>
  <c r="K55" i="2"/>
  <c r="K56" i="2"/>
  <c r="K57" i="2"/>
  <c r="K58" i="2"/>
  <c r="K59" i="2"/>
  <c r="P13" i="2" l="1"/>
  <c r="P49" i="2"/>
  <c r="P37" i="2"/>
  <c r="P25" i="2"/>
  <c r="P8" i="2"/>
  <c r="P18" i="2"/>
  <c r="P12" i="2"/>
  <c r="P54" i="2"/>
  <c r="P41" i="2"/>
  <c r="P29" i="2"/>
  <c r="P17" i="2"/>
  <c r="P5" i="2"/>
  <c r="P47" i="2"/>
  <c r="P35" i="2"/>
  <c r="P23" i="2"/>
  <c r="P11" i="2"/>
  <c r="P56" i="2"/>
  <c r="P43" i="2"/>
  <c r="P31" i="2"/>
  <c r="P19" i="2"/>
  <c r="P7" i="2"/>
  <c r="P20" i="2"/>
  <c r="P42" i="2"/>
  <c r="P48" i="2"/>
  <c r="P24" i="2"/>
  <c r="P53" i="2"/>
  <c r="P40" i="2"/>
  <c r="P28" i="2"/>
  <c r="P16" i="2"/>
  <c r="P4" i="2"/>
  <c r="P59" i="2"/>
  <c r="P46" i="2"/>
  <c r="P34" i="2"/>
  <c r="P22" i="2"/>
  <c r="P10" i="2"/>
  <c r="P57" i="2"/>
  <c r="P36" i="2"/>
  <c r="P52" i="2"/>
  <c r="P39" i="2"/>
  <c r="P50" i="2"/>
  <c r="P38" i="2"/>
  <c r="P26" i="2"/>
  <c r="P14" i="2"/>
  <c r="P2" i="2"/>
  <c r="P44" i="2"/>
  <c r="P30" i="2"/>
  <c r="P27" i="2"/>
  <c r="P3" i="2"/>
  <c r="P32" i="2"/>
  <c r="P55" i="2"/>
  <c r="P6" i="2"/>
  <c r="P15" i="2"/>
  <c r="P58" i="2"/>
  <c r="P45" i="2"/>
  <c r="P33" i="2"/>
  <c r="P21" i="2"/>
  <c r="P9" i="2"/>
  <c r="K51" i="2" l="1"/>
  <c r="N51" i="2"/>
  <c r="M51" i="2"/>
  <c r="L51" i="2"/>
  <c r="O51" i="2"/>
  <c r="P51" i="2" l="1"/>
</calcChain>
</file>

<file path=xl/sharedStrings.xml><?xml version="1.0" encoding="utf-8"?>
<sst xmlns="http://schemas.openxmlformats.org/spreadsheetml/2006/main" count="2012" uniqueCount="234">
  <si>
    <t>Timestamp</t>
  </si>
  <si>
    <t xml:space="preserve">How old are you? </t>
  </si>
  <si>
    <t xml:space="preserve">What’s your gender?  </t>
  </si>
  <si>
    <t xml:space="preserve">Which faculty are you in?  </t>
  </si>
  <si>
    <t xml:space="preserve">Where do you live while at university?  </t>
  </si>
  <si>
    <t xml:space="preserve">Roughly, what’s your monthly allowance?  </t>
  </si>
  <si>
    <t xml:space="preserve">What’s your relationship status?  </t>
  </si>
  <si>
    <t>How many clubs or societies are you part of?</t>
  </si>
  <si>
    <r>
      <t xml:space="preserve">On average, how many hours per week do you spend on </t>
    </r>
    <r>
      <rPr>
        <i/>
        <sz val="10"/>
        <color theme="1"/>
        <rFont val="Arial"/>
        <family val="2"/>
      </rPr>
      <t>clubs, societies, or other non-sports extracurricular activities</t>
    </r>
    <r>
      <rPr>
        <sz val="10"/>
        <color theme="1"/>
        <rFont val="Arial"/>
        <family val="2"/>
      </rPr>
      <t xml:space="preserve">? </t>
    </r>
  </si>
  <si>
    <t xml:space="preserve">How often do you go to campus events (e.g., sports meets, cultural programs, society events, etc.)?  </t>
  </si>
  <si>
    <t>What motivates you to participate in extracurricular activities? (Select all that apply)</t>
  </si>
  <si>
    <t>What prevents you from participating in extracurricular activities? (Select all that apply)</t>
  </si>
  <si>
    <t>I feel a sense of belonging at my university.</t>
  </si>
  <si>
    <t>I feel comfortable interacting with my classmates.</t>
  </si>
  <si>
    <t>I actively participate in group activities on campus.</t>
  </si>
  <si>
    <t>I feel supported by my peers.</t>
  </si>
  <si>
    <t>I feel supported by academic staff or mentors.</t>
  </si>
  <si>
    <t>I have built strong friendships within my university community.</t>
  </si>
  <si>
    <t>I feel included in the larger university community.</t>
  </si>
  <si>
    <t xml:space="preserve">Is your partner a student at the same university?  </t>
  </si>
  <si>
    <t>Being in a relationship affects the time I spend on campus activities.</t>
  </si>
  <si>
    <t>Being in a relationship has helped me feel more connected with campus life.</t>
  </si>
  <si>
    <t xml:space="preserve">My partner encourages me to join campus events. </t>
  </si>
  <si>
    <t>What types of social activities do you prefer? (Select all that apply)</t>
  </si>
  <si>
    <t xml:space="preserve">Are you happy with the number of social activities the university organizes?  </t>
  </si>
  <si>
    <t xml:space="preserve">If not, what would you like to see improved? (Select all that apply)  </t>
  </si>
  <si>
    <t xml:space="preserve">How aware are you of the university’s support services (like counselling or peer mentoring)?  </t>
  </si>
  <si>
    <t>If you’ve used these services, how helpful were they in helping you connect with other students?</t>
  </si>
  <si>
    <r>
      <t xml:space="preserve">On average, how many hours per week do you spend on </t>
    </r>
    <r>
      <rPr>
        <i/>
        <sz val="10"/>
        <color theme="1"/>
        <rFont val="Arial"/>
        <family val="2"/>
      </rPr>
      <t>sports or physical activities</t>
    </r>
    <r>
      <rPr>
        <sz val="10"/>
        <color theme="1"/>
        <rFont val="Arial"/>
        <family val="2"/>
      </rPr>
      <t xml:space="preserve"> organized by the university?  </t>
    </r>
  </si>
  <si>
    <t>How many sports activities do you participate in at university?</t>
  </si>
  <si>
    <t xml:space="preserve">Which type of university do you currently study at?  </t>
  </si>
  <si>
    <t>Male</t>
  </si>
  <si>
    <t>At home with family</t>
  </si>
  <si>
    <t>Less than 10,000 LKR</t>
  </si>
  <si>
    <t>In a relationship</t>
  </si>
  <si>
    <t>4-6 hours</t>
  </si>
  <si>
    <t>Sometimes</t>
  </si>
  <si>
    <t>For fun, My friends influence me</t>
  </si>
  <si>
    <t>Academic workload, Not interested</t>
  </si>
  <si>
    <t>No</t>
  </si>
  <si>
    <t>Neutral</t>
  </si>
  <si>
    <t>Agree</t>
  </si>
  <si>
    <t>Volunteer/community service, Informal gatherings with friends</t>
  </si>
  <si>
    <t>Yes</t>
  </si>
  <si>
    <t>More student-led initiatives, Improved facilities</t>
  </si>
  <si>
    <t>Not at all</t>
  </si>
  <si>
    <t>None</t>
  </si>
  <si>
    <t>Boarding / Private accommodation</t>
  </si>
  <si>
    <t>More than 30,000 LKR</t>
  </si>
  <si>
    <t>Single</t>
  </si>
  <si>
    <t>1-3 hours</t>
  </si>
  <si>
    <t>Often</t>
  </si>
  <si>
    <t>To make friends, To learn new skills, For fun, To improve my CV, My friends influence me</t>
  </si>
  <si>
    <t>Not enough time, Academic workload, Money issues</t>
  </si>
  <si>
    <t>Sports events, Cultural events, Academic clubs, Music/drama, Religious/cultural societies, Informal gatherings with friends</t>
  </si>
  <si>
    <t>Female</t>
  </si>
  <si>
    <t>20,000–30,000 LKR</t>
  </si>
  <si>
    <t>3 or more</t>
  </si>
  <si>
    <t>7-10 hours</t>
  </si>
  <si>
    <t xml:space="preserve">To make friends, To learn new skills, For fun, For the experience </t>
  </si>
  <si>
    <t>Not enough time, Academic workload, Didn’t know about them</t>
  </si>
  <si>
    <t>Disagree</t>
  </si>
  <si>
    <t>Cultural events, Music/drama, Informal gatherings with friends</t>
  </si>
  <si>
    <t>More events, Better communication / advertising, More variety of activities</t>
  </si>
  <si>
    <t>Moderately aware</t>
  </si>
  <si>
    <t>To make friends, To learn new skills</t>
  </si>
  <si>
    <t>Academic workload</t>
  </si>
  <si>
    <t>Strongly disagree</t>
  </si>
  <si>
    <t>Strongly Agree</t>
  </si>
  <si>
    <t>Sports events, Academic clubs, Music/drama</t>
  </si>
  <si>
    <t>Not enough time, Academic workload</t>
  </si>
  <si>
    <t>Academic clubs, Volunteer/community service, Informal gatherings with friends</t>
  </si>
  <si>
    <t>Not enough time, Academic workload, Family restrictions</t>
  </si>
  <si>
    <t>Cultural events, Music/drama, Volunteer/community service, Informal gatherings with friends</t>
  </si>
  <si>
    <t>More events, Better communication / advertising, More variety of activities, More student-led initiatives, Improved facilities</t>
  </si>
  <si>
    <t>For fun</t>
  </si>
  <si>
    <t>Not enough time, Academic workload, Money issues, Travel Restrictions due to public transportation</t>
  </si>
  <si>
    <t>Sports events, Academic clubs</t>
  </si>
  <si>
    <t>Fully aware</t>
  </si>
  <si>
    <t>10,000–20,000 LKR</t>
  </si>
  <si>
    <t>Not interested, Family restrictions</t>
  </si>
  <si>
    <t>Volunteer/community service, Religious/cultural societies, Informal gatherings with friends</t>
  </si>
  <si>
    <t>Not sure</t>
  </si>
  <si>
    <t>Better funding for societies</t>
  </si>
  <si>
    <t>More than 10 hours</t>
  </si>
  <si>
    <t>To learn new skills, For fun, To improve my CV, My friends influence me</t>
  </si>
  <si>
    <t>Not enough time, Academic workload, Didn’t know about them, Feeling shy</t>
  </si>
  <si>
    <t>Sports events, Cultural events, Academic clubs, Volunteer/community service</t>
  </si>
  <si>
    <t>Better communication / advertising, Better funding for societies, Improved facilities</t>
  </si>
  <si>
    <t>To learn new skills</t>
  </si>
  <si>
    <t>Cultural events, Music/drama, Religious/cultural societies</t>
  </si>
  <si>
    <t>Better communication / advertising, Better funding for societies</t>
  </si>
  <si>
    <t>Never</t>
  </si>
  <si>
    <t>To make friends, To learn new skills, For fun</t>
  </si>
  <si>
    <t>Feeling shy</t>
  </si>
  <si>
    <t>More student-led initiatives</t>
  </si>
  <si>
    <t>Not interested, Feeling shy</t>
  </si>
  <si>
    <t xml:space="preserve">For fun, </t>
  </si>
  <si>
    <t>Cultural events, Academic clubs, Informal gatherings with friends</t>
  </si>
  <si>
    <t>To learn new skills, For fun</t>
  </si>
  <si>
    <t>Not enough time, Academic workload, Not interested</t>
  </si>
  <si>
    <t>Cultural events, Music/drama, Religious/cultural societies, Informal gatherings with friends</t>
  </si>
  <si>
    <t>23 years</t>
  </si>
  <si>
    <t>Sports events, Academic clubs, Volunteer/community service, Informal gatherings with friends</t>
  </si>
  <si>
    <t>Improved facilities</t>
  </si>
  <si>
    <t>Cultural events, Academic clubs, Music/drama, Volunteer/community service</t>
  </si>
  <si>
    <t>More variety of activities</t>
  </si>
  <si>
    <t>23 years old</t>
  </si>
  <si>
    <t>Not enough time, Academic workload, Feeling shy</t>
  </si>
  <si>
    <t>More events, Improved facilities</t>
  </si>
  <si>
    <t>Sports events, Cultural events, Music/drama</t>
  </si>
  <si>
    <t>Better communication / advertising, More variety of activities</t>
  </si>
  <si>
    <t>Not enough time</t>
  </si>
  <si>
    <t>Music/drama, Religious/cultural societies</t>
  </si>
  <si>
    <t>More variety of activities, More student-led initiatives, Better funding for societies, Improved facilities</t>
  </si>
  <si>
    <t>Sports events, Volunteer/community service, Informal gatherings with friends</t>
  </si>
  <si>
    <t>More events, More variety of activities, More student-led initiatives, Better funding for societies</t>
  </si>
  <si>
    <t>Not enough time, Academic workload, Didn’t know about them, Family restrictions</t>
  </si>
  <si>
    <t>Cultural events, Academic clubs, Music/drama, Volunteer/community service, Religious/cultural societies, Informal gatherings with friends</t>
  </si>
  <si>
    <t>Not enough time, Not interested, Didn’t know about them, Feeling shy, Family restrictions</t>
  </si>
  <si>
    <t>Cultural events, Volunteer/community service, Informal gatherings with friends</t>
  </si>
  <si>
    <t>More variety of activities, Improved facilities</t>
  </si>
  <si>
    <t>To learn new skills, To improve my CV</t>
  </si>
  <si>
    <t>Cultural events, Volunteer/community service</t>
  </si>
  <si>
    <t>University hostel</t>
  </si>
  <si>
    <t>Sports events, Cultural events, Volunteer/community service, Informal gatherings with friends</t>
  </si>
  <si>
    <t>Better communication / advertising, More student-led initiatives, Better funding for societies</t>
  </si>
  <si>
    <t>Not interested</t>
  </si>
  <si>
    <t>Sports events, Cultural events, Music/drama, Volunteer/community service, Informal gatherings with friends</t>
  </si>
  <si>
    <t>To make friends, To learn new skills, For fun, My friends influence me</t>
  </si>
  <si>
    <t>Sports events, Travelling (Venture Club)</t>
  </si>
  <si>
    <t>Cultural events, Religious/cultural societies</t>
  </si>
  <si>
    <t>To improve my CV</t>
  </si>
  <si>
    <t>Academic clubs</t>
  </si>
  <si>
    <t>Better communication / advertising</t>
  </si>
  <si>
    <t xml:space="preserve">Not enough time, Academic workload, Language barrier </t>
  </si>
  <si>
    <t>Academic clubs, Volunteer/community service, Religious/cultural societies</t>
  </si>
  <si>
    <t>To make friends, For fun</t>
  </si>
  <si>
    <t>Academic workload, Feeling shy</t>
  </si>
  <si>
    <t>Cultural events, Volunteer/community service, Religious/cultural societies, Informal gatherings with friends</t>
  </si>
  <si>
    <t>To make friends, To learn new skills, For fun, To improve my CV</t>
  </si>
  <si>
    <t>Didn’t know about them</t>
  </si>
  <si>
    <t>Sports events, Academic clubs, Music/drama, Volunteer/community service, Informal gatherings with friends</t>
  </si>
  <si>
    <t>Better communication / advertising, More variety of activities, More student-led initiatives</t>
  </si>
  <si>
    <t>Cultural events, Academic clubs, Music/drama, Volunteer/community service, Informal gatherings with friends</t>
  </si>
  <si>
    <t>Sports events, Cultural events, Volunteer/community service</t>
  </si>
  <si>
    <t>Sports events, Cultural events, Music/drama, Volunteer/community service, Religious/cultural societies</t>
  </si>
  <si>
    <t>More events, More variety of activities, More student-led initiatives</t>
  </si>
  <si>
    <t>To make friends, To learn new skills, My friends influence me</t>
  </si>
  <si>
    <t>Academic workload, Feeling shy, Family restrictions</t>
  </si>
  <si>
    <t>Cultural events, Academic clubs, Volunteer/community service, Religious/cultural societies, Informal gatherings with friends</t>
  </si>
  <si>
    <t>Prefer not to say</t>
  </si>
  <si>
    <t>More events, Better funding for societies, Improved facilities</t>
  </si>
  <si>
    <t>Sports events</t>
  </si>
  <si>
    <t>More events, Better communication / advertising, More variety of activities, More student-led initiatives</t>
  </si>
  <si>
    <t>It’s complicated</t>
  </si>
  <si>
    <t xml:space="preserve">Not enough time, </t>
  </si>
  <si>
    <t>Cultural events</t>
  </si>
  <si>
    <t>23l3</t>
  </si>
  <si>
    <t>To make friends, For fun, My friends influence me</t>
  </si>
  <si>
    <t>Sports events, Cultural events, Music/drama, Informal gatherings with friends</t>
  </si>
  <si>
    <t>Cultural events, Informal gatherings with friends</t>
  </si>
  <si>
    <t>To learn new skills, For fun, My friends influence me</t>
  </si>
  <si>
    <t>Sports events, Cultural events, Music/drama, Volunteer/community service</t>
  </si>
  <si>
    <t>More events, Better communication / advertising, More variety of activities, More student-led initiatives, Better funding for societies, Improved facilities</t>
  </si>
  <si>
    <t>To make friends, To learn new skills, To improve my CV</t>
  </si>
  <si>
    <t>Money issues, Didn’t know about them, Feeling shy</t>
  </si>
  <si>
    <t>Sports events, Cultural events, Academic clubs, Volunteer/community service, Religious/cultural societies</t>
  </si>
  <si>
    <t>Better communication / advertising, More variety of activities, Improved facilities</t>
  </si>
  <si>
    <t>Academic workload, Money issues, Feeling shy</t>
  </si>
  <si>
    <t>Cultural events, Religious/cultural societies, Informal gatherings with friends</t>
  </si>
  <si>
    <t>More events, More variety of activities, Improved facilities</t>
  </si>
  <si>
    <t>Family restrictions</t>
  </si>
  <si>
    <t>More variety of activities, More student-led initiatives</t>
  </si>
  <si>
    <t>Academic workload, Money issues</t>
  </si>
  <si>
    <t>Music/drama</t>
  </si>
  <si>
    <t>More variety of activities, More student-led initiatives, Improved facilities</t>
  </si>
  <si>
    <t>Sports events, Cultural events, Music/drama, Religious/cultural societies, Informal gatherings with friends</t>
  </si>
  <si>
    <t>More events, Better communication / advertising</t>
  </si>
  <si>
    <t>no_clubs</t>
  </si>
  <si>
    <t>residence_type</t>
  </si>
  <si>
    <t>monthly_allowance</t>
  </si>
  <si>
    <t>relationship_status</t>
  </si>
  <si>
    <t>rel_improves_integration</t>
  </si>
  <si>
    <t>rel_affects_time</t>
  </si>
  <si>
    <t>rel_encouragement</t>
  </si>
  <si>
    <t>hours_clubs</t>
  </si>
  <si>
    <t>event_frequency</t>
  </si>
  <si>
    <t>extracurr_motivations</t>
  </si>
  <si>
    <t>extracurr_barriers</t>
  </si>
  <si>
    <t>ci_belonging</t>
  </si>
  <si>
    <t>ci_comfort_peers</t>
  </si>
  <si>
    <t>ci_group_participation</t>
  </si>
  <si>
    <t>ci_peer_support</t>
  </si>
  <si>
    <t>ci_staff_support</t>
  </si>
  <si>
    <t>ci_friendships</t>
  </si>
  <si>
    <t>ci_feel_included</t>
  </si>
  <si>
    <t>rel_psame_uni</t>
  </si>
  <si>
    <t>satisfied_activities</t>
  </si>
  <si>
    <t>no_sports</t>
  </si>
  <si>
    <t>hours_sports</t>
  </si>
  <si>
    <t>age</t>
  </si>
  <si>
    <t>gender</t>
  </si>
  <si>
    <t>pref_sports</t>
  </si>
  <si>
    <t>pref_cultural</t>
  </si>
  <si>
    <t>pref_academic_clubs</t>
  </si>
  <si>
    <t>pref_musicdrama</t>
  </si>
  <si>
    <t>pref_volunteer</t>
  </si>
  <si>
    <t>pref_religious</t>
  </si>
  <si>
    <t>pref_informal</t>
  </si>
  <si>
    <t>pref_other</t>
  </si>
  <si>
    <t>imp_advertising</t>
  </si>
  <si>
    <t>imp_events</t>
  </si>
  <si>
    <t>imp_stu_led_activities</t>
  </si>
  <si>
    <t>imp_variety_activities</t>
  </si>
  <si>
    <t>imp_funding</t>
  </si>
  <si>
    <t>imp_facilities</t>
  </si>
  <si>
    <t>moti_makefriends</t>
  </si>
  <si>
    <t>moti_skills</t>
  </si>
  <si>
    <t>moti_fun</t>
  </si>
  <si>
    <t>moti_cv</t>
  </si>
  <si>
    <t>moti_friendsinfluence</t>
  </si>
  <si>
    <t>moti_other</t>
  </si>
  <si>
    <t>barr_time</t>
  </si>
  <si>
    <t>barr_academics</t>
  </si>
  <si>
    <t>barr_economic</t>
  </si>
  <si>
    <t>barr_notinterested</t>
  </si>
  <si>
    <t>barr_didntknow</t>
  </si>
  <si>
    <t>barr_shy</t>
  </si>
  <si>
    <t>barr_family</t>
  </si>
  <si>
    <t>barr_other</t>
  </si>
  <si>
    <t>moti_other_text</t>
  </si>
  <si>
    <t>NA</t>
  </si>
  <si>
    <t>awareness_supportservices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</si>
</sst>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Invisible" pivot="0" table="0" count="0" xr9:uid="{B7A550B9-5E84-43D2-A008-41C02078B9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E59">
  <tableColumns count="31">
    <tableColumn id="1" xr3:uid="{00000000-0010-0000-0000-000001000000}" name="Timestamp"/>
    <tableColumn id="2" xr3:uid="{00000000-0010-0000-0000-000002000000}" name="How old are you? "/>
    <tableColumn id="3" xr3:uid="{00000000-0010-0000-0000-000003000000}" name="What’s your gender?  "/>
    <tableColumn id="4" xr3:uid="{00000000-0010-0000-0000-000004000000}" name="Which faculty are you in?  "/>
    <tableColumn id="5" xr3:uid="{00000000-0010-0000-0000-000005000000}" name="Where do you live while at university?  "/>
    <tableColumn id="6" xr3:uid="{00000000-0010-0000-0000-000006000000}" name="Roughly, what’s your monthly allowance?  "/>
    <tableColumn id="7" xr3:uid="{00000000-0010-0000-0000-000007000000}" name="What’s your relationship status?  "/>
    <tableColumn id="8" xr3:uid="{00000000-0010-0000-0000-000008000000}" name="How many clubs or societies are you part of?"/>
    <tableColumn id="9" xr3:uid="{00000000-0010-0000-0000-000009000000}" name="On average, how many hours per week do you spend on clubs, societies, or other non-sports extracurricular activities? "/>
    <tableColumn id="10" xr3:uid="{00000000-0010-0000-0000-00000A000000}" name="How often do you go to campus events (e.g., sports meets, cultural programs, society events, etc.)?  "/>
    <tableColumn id="11" xr3:uid="{00000000-0010-0000-0000-00000B000000}" name="What motivates you to participate in extracurricular activities? (Select all that apply)"/>
    <tableColumn id="12" xr3:uid="{00000000-0010-0000-0000-00000C000000}" name="What prevents you from participating in extracurricular activities? (Select all that apply)"/>
    <tableColumn id="13" xr3:uid="{00000000-0010-0000-0000-00000D000000}" name="I feel a sense of belonging at my university."/>
    <tableColumn id="14" xr3:uid="{00000000-0010-0000-0000-00000E000000}" name="I feel comfortable interacting with my classmates."/>
    <tableColumn id="15" xr3:uid="{00000000-0010-0000-0000-00000F000000}" name="I actively participate in group activities on campus."/>
    <tableColumn id="16" xr3:uid="{00000000-0010-0000-0000-000010000000}" name="I feel supported by my peers."/>
    <tableColumn id="17" xr3:uid="{00000000-0010-0000-0000-000011000000}" name="I feel supported by academic staff or mentors."/>
    <tableColumn id="18" xr3:uid="{00000000-0010-0000-0000-000012000000}" name="I have built strong friendships within my university community."/>
    <tableColumn id="19" xr3:uid="{00000000-0010-0000-0000-000013000000}" name="I feel included in the larger university community."/>
    <tableColumn id="20" xr3:uid="{00000000-0010-0000-0000-000014000000}" name="Is your partner a student at the same university?  "/>
    <tableColumn id="21" xr3:uid="{00000000-0010-0000-0000-000015000000}" name="Being in a relationship affects the time I spend on campus activities."/>
    <tableColumn id="22" xr3:uid="{00000000-0010-0000-0000-000016000000}" name="Being in a relationship has helped me feel more connected with campus life."/>
    <tableColumn id="23" xr3:uid="{00000000-0010-0000-0000-000017000000}" name="My partner encourages me to join campus events. "/>
    <tableColumn id="24" xr3:uid="{00000000-0010-0000-0000-000018000000}" name="What types of social activities do you prefer? (Select all that apply)"/>
    <tableColumn id="25" xr3:uid="{00000000-0010-0000-0000-000019000000}" name="Are you happy with the number of social activities the university organizes?  "/>
    <tableColumn id="26" xr3:uid="{00000000-0010-0000-0000-00001A000000}" name="If not, what would you like to see improved? (Select all that apply)  "/>
    <tableColumn id="27" xr3:uid="{00000000-0010-0000-0000-00001B000000}" name="How aware are you of the university’s support services (like counselling or peer mentoring)?  "/>
    <tableColumn id="28" xr3:uid="{00000000-0010-0000-0000-00001C000000}" name="If you’ve used these services, how helpful were they in helping you connect with other students?"/>
    <tableColumn id="29" xr3:uid="{00000000-0010-0000-0000-00001D000000}" name="On average, how many hours per week do you spend on sports or physical activities organized by the university?  "/>
    <tableColumn id="30" xr3:uid="{00000000-0010-0000-0000-00001E000000}" name="How many sports activities do you participate in at university?"/>
    <tableColumn id="31" xr3:uid="{00000000-0010-0000-0000-00001F000000}" name="Which type of university do you currently study at?  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CA4FA1-C24A-4EC1-907F-216A004BD644}" name="Form_Responses3" displayName="Form_Responses3" ref="A1:BE59">
  <tableColumns count="57">
    <tableColumn id="2" xr3:uid="{5B303682-6738-466E-8463-AF70030C0722}" name="age"/>
    <tableColumn id="3" xr3:uid="{F3663B02-4F6F-4255-A6A2-ACA6D3F6041D}" name="gender"/>
    <tableColumn id="5" xr3:uid="{CE1EEA36-2E14-4F65-A63E-BC4739CA31D3}" name="residence_type"/>
    <tableColumn id="6" xr3:uid="{88D58287-6608-47F3-9633-0C7F49D08986}" name="monthly_allowance"/>
    <tableColumn id="7" xr3:uid="{B6E2F357-709D-4605-BC2F-5EABBB23E972}" name="relationship_status"/>
    <tableColumn id="8" xr3:uid="{84DB0A05-9B58-4A98-B244-303E8543189D}" name="no_clubs"/>
    <tableColumn id="9" xr3:uid="{D5CC5085-33BD-46B3-AD40-F7BF83D50FFA}" name="hours_clubs"/>
    <tableColumn id="1" xr3:uid="{95219BDF-FCC0-4275-8A47-0894C4438A07}" name="no_sports" dataDxfId="29"/>
    <tableColumn id="4" xr3:uid="{172B790E-F13E-4570-A696-4675A4C98A86}" name="hours_sports" dataDxfId="28"/>
    <tableColumn id="10" xr3:uid="{E5C03B02-5351-416D-A654-75B6BA50CE35}" name="event_frequency"/>
    <tableColumn id="50" xr3:uid="{650B9569-C8F4-4D8B-BE0D-D6C06CF9FBA7}" name="moti_makefriends" dataDxfId="27">
      <calculatedColumnFormula>IF(ISNUMBER(SEARCH("To make friends",$R2)),1,0)</calculatedColumnFormula>
    </tableColumn>
    <tableColumn id="49" xr3:uid="{678E7A81-5789-4117-90A6-4A56C2B0985A}" name="moti_skills" dataDxfId="26">
      <calculatedColumnFormula>IF(ISNUMBER(SEARCH("To learn new skills",$R2)),1,0)</calculatedColumnFormula>
    </tableColumn>
    <tableColumn id="48" xr3:uid="{F746CDC2-2692-4A30-AA8D-AFD17EC92787}" name="moti_fun" dataDxfId="25">
      <calculatedColumnFormula>IF(ISNUMBER(SEARCH("For fun",$R2)),1,0)</calculatedColumnFormula>
    </tableColumn>
    <tableColumn id="47" xr3:uid="{28A59515-DCAF-4A02-96FA-8378ACD3FD85}" name="moti_cv" dataDxfId="24">
      <calculatedColumnFormula>IF(ISNUMBER(SEARCH("To improve my CV",$R2)),1,0)</calculatedColumnFormula>
    </tableColumn>
    <tableColumn id="46" xr3:uid="{33CE2098-BE41-4C0F-8B25-A811B3F9F8C3}" name="moti_friendsinfluence" dataDxfId="23">
      <calculatedColumnFormula>IF(ISNUMBER(SEARCH("My friends influence me",$R2)),1,0)</calculatedColumnFormula>
    </tableColumn>
    <tableColumn id="59" xr3:uid="{8779B4BC-4411-4294-90FD-63B3A47BE80E}" name="moti_other" dataDxfId="22">
      <calculatedColumnFormula>IF($R2="","",IF(SUM(Form_Responses3[[#This Row],[moti_makefriends]:[moti_friendsinfluence]])=0,1,IF(COUNTA(textsplit(R2,","))&gt;SUM(Form_Responses3[[#This Row],[moti_makefriends]:[moti_friendsinfluence]]),1,0)))</calculatedColumnFormula>
    </tableColumn>
    <tableColumn id="45" xr3:uid="{9BE337CF-2840-430E-899E-59BBD86A9B2A}" name="moti_other_text" dataDxfId="21"/>
    <tableColumn id="11" xr3:uid="{08C6CF24-0828-4F2C-AEC5-5476C19DB77B}" name="extracurr_motivations"/>
    <tableColumn id="55" xr3:uid="{40539F03-0D5C-4AD0-8763-28EC854831A3}" name="barr_time" dataDxfId="20">
      <calculatedColumnFormula>IF(ISNUMBER(SEARCH("Not enough time",$AA2)),1,0)</calculatedColumnFormula>
    </tableColumn>
    <tableColumn id="54" xr3:uid="{D79FC41A-DD89-452E-99F8-6FF46719CD73}" name="barr_academics" dataDxfId="19">
      <calculatedColumnFormula>IF(ISNUMBER(SEARCH("Academic workload",$AA2)),1,0)</calculatedColumnFormula>
    </tableColumn>
    <tableColumn id="58" xr3:uid="{92DCA4CC-91D0-4377-A355-9EA1C68BDE61}" name="barr_economic" dataDxfId="18">
      <calculatedColumnFormula>IF(ISNUMBER(SEARCH("Money issues",$AA2)),1,0)</calculatedColumnFormula>
    </tableColumn>
    <tableColumn id="57" xr3:uid="{D4692F74-4081-4AB5-8E27-2D042C16DC0C}" name="barr_notinterested" dataDxfId="17">
      <calculatedColumnFormula>IF(ISNUMBER(SEARCH("Not interested",$AA2)),1,0)</calculatedColumnFormula>
    </tableColumn>
    <tableColumn id="56" xr3:uid="{AFBAB2D3-A6B2-47D6-822B-1DEC935184CD}" name="barr_didntknow" dataDxfId="16">
      <calculatedColumnFormula>IF(ISNUMBER(SEARCH("Didn’t know about them",$AA2)),1,0)</calculatedColumnFormula>
    </tableColumn>
    <tableColumn id="53" xr3:uid="{FFCE6269-4D2D-4E8B-A058-1630BBC06B19}" name="barr_shy" dataDxfId="15">
      <calculatedColumnFormula>IF(ISNUMBER(SEARCH("Feeling shy",$AA2)),1,0)</calculatedColumnFormula>
    </tableColumn>
    <tableColumn id="52" xr3:uid="{FBF46426-7574-439E-A0D6-2A95E8BB9B61}" name="barr_family" dataDxfId="14">
      <calculatedColumnFormula>IF(ISNUMBER(SEARCH("Family restrictions",$AA2)),1,0)</calculatedColumnFormula>
    </tableColumn>
    <tableColumn id="51" xr3:uid="{2E4ECE76-1168-4319-A0AF-33228099E057}" name="barr_other" dataDxfId="13"/>
    <tableColumn id="12" xr3:uid="{0CD5953C-D719-409F-89BD-246950C6130B}" name="extracurr_barriers"/>
    <tableColumn id="13" xr3:uid="{7DCA3D74-43C8-4D1F-B62A-109114D76530}" name="ci_belonging"/>
    <tableColumn id="14" xr3:uid="{692B89FF-BB35-44A2-B083-E56D4F196D91}" name="ci_comfort_peers"/>
    <tableColumn id="15" xr3:uid="{E56B979D-88D9-402E-98ED-C1284E92F9A6}" name="ci_group_participation"/>
    <tableColumn id="16" xr3:uid="{0249C646-D285-4F38-8F6A-F099D2DD0055}" name="ci_peer_support"/>
    <tableColumn id="17" xr3:uid="{89022656-21A9-4AF5-B419-1DEBF48CDBE2}" name="ci_staff_support"/>
    <tableColumn id="18" xr3:uid="{821E22B6-7333-4BBF-B496-EC126E706139}" name="ci_friendships"/>
    <tableColumn id="19" xr3:uid="{82AB7D45-4EB8-480A-AF2E-98F1EF2B2414}" name="ci_feel_included"/>
    <tableColumn id="20" xr3:uid="{FC79DA7B-9FD0-4060-A40C-C5B7814C9789}" name="rel_psame_uni"/>
    <tableColumn id="21" xr3:uid="{B9A933AE-180E-4CE7-872F-EFD7206CB2C2}" name="rel_affects_time"/>
    <tableColumn id="22" xr3:uid="{323F3341-9656-4506-A593-09CA85962CA7}" name="rel_improves_integration"/>
    <tableColumn id="23" xr3:uid="{61E46F9B-6A64-4C7E-B505-8F46FE3F5AA0}" name="rel_encouragement"/>
    <tableColumn id="31" xr3:uid="{E7765930-E527-4916-AC3A-A47FCD9F0951}" name="pref_sports" dataDxfId="12">
      <calculatedColumnFormula>IF(ISNUMBER(SEARCH("Sports events",$AU2)),1,0)</calculatedColumnFormula>
    </tableColumn>
    <tableColumn id="32" xr3:uid="{AAD47B4B-844E-4ABA-B4B5-0ACD848323B6}" name="pref_cultural" dataDxfId="11">
      <calculatedColumnFormula>IF(ISNUMBER(SEARCH("Cultural events",$AU2)),1,0)</calculatedColumnFormula>
    </tableColumn>
    <tableColumn id="33" xr3:uid="{3904AEE1-9F36-4D16-8ED1-40F479201420}" name="pref_academic_clubs" dataDxfId="10">
      <calculatedColumnFormula>IF(ISNUMBER(SEARCH("Academic clubs",$AU2)),1,0)</calculatedColumnFormula>
    </tableColumn>
    <tableColumn id="34" xr3:uid="{F9B2714A-5BE6-492B-8B1B-FA667A4F1D5E}" name="pref_musicdrama" dataDxfId="9">
      <calculatedColumnFormula>IF(ISNUMBER(SEARCH("Music/drama",$AU2)),1,0)</calculatedColumnFormula>
    </tableColumn>
    <tableColumn id="36" xr3:uid="{14422B12-D66B-47C3-A70C-A193FA31EB9C}" name="pref_volunteer" dataDxfId="8">
      <calculatedColumnFormula>IF(ISNUMBER(SEARCH("Volunteer/community service",$AU2)),1,0)</calculatedColumnFormula>
    </tableColumn>
    <tableColumn id="35" xr3:uid="{09A5FF55-BA7E-4033-8706-3897B823E0D8}" name="pref_religious" dataDxfId="7">
      <calculatedColumnFormula>IF(ISNUMBER(SEARCH("Religious/cultural societies",$AU2)),1,0)</calculatedColumnFormula>
    </tableColumn>
    <tableColumn id="37" xr3:uid="{91480265-DDF2-472E-A515-306126850531}" name="pref_informal" dataDxfId="6">
      <calculatedColumnFormula>IF(ISNUMBER(SEARCH("Informal gatherings with friends",$AU2)),1,0)</calculatedColumnFormula>
    </tableColumn>
    <tableColumn id="38" xr3:uid="{E5B4DF9E-3E8D-437B-B6D6-ED9496B61C92}" name="pref_other"/>
    <tableColumn id="24" xr3:uid="{C7070B73-B151-4956-B0B3-1973261FE604}" name="What types of social activities do you prefer? (Select all that apply)"/>
    <tableColumn id="25" xr3:uid="{A9CFCFD6-7557-498E-8D02-984F16C4F720}" name="satisfied_activities"/>
    <tableColumn id="44" xr3:uid="{01B435F7-D500-45AE-844F-BB2C5883E5F7}" name="imp_events" dataDxfId="5">
      <calculatedColumnFormula>IF(ISNUMBER(SEARCH("More events",$BC2)),1,0)</calculatedColumnFormula>
    </tableColumn>
    <tableColumn id="43" xr3:uid="{E2994A5F-F68F-4D48-A833-4B8ECC25FD95}" name="imp_advertising" dataDxfId="4">
      <calculatedColumnFormula>IF(ISNUMBER(SEARCH("Better communication / advertising",$BC2)),1,0)</calculatedColumnFormula>
    </tableColumn>
    <tableColumn id="42" xr3:uid="{34AFD1D8-1D4E-4ECD-B40F-55E14F29F027}" name="imp_variety_activities" dataDxfId="3">
      <calculatedColumnFormula>IF(ISNUMBER(SEARCH("More variety of activities",$BC2)),1,0)</calculatedColumnFormula>
    </tableColumn>
    <tableColumn id="41" xr3:uid="{94B3498E-B621-49C1-A720-B71B71DA45C2}" name="imp_stu_led_activities" dataDxfId="2">
      <calculatedColumnFormula>IF(ISNUMBER(SEARCH("More student-led initiatives",$BC2)),1,0)</calculatedColumnFormula>
    </tableColumn>
    <tableColumn id="40" xr3:uid="{E67A4B83-D3C0-4B4C-9575-BFCEA9E7A925}" name="imp_funding" dataDxfId="1">
      <calculatedColumnFormula>IF(ISNUMBER(SEARCH("Better funding for societies",$BC2)),1,0)</calculatedColumnFormula>
    </tableColumn>
    <tableColumn id="39" xr3:uid="{45396914-1167-48A0-B42E-E1AEF8282891}" name="imp_facilities" dataDxfId="0">
      <calculatedColumnFormula>IF(ISNUMBER(SEARCH("Improved facilities",$BC2)),1,0)</calculatedColumnFormula>
    </tableColumn>
    <tableColumn id="26" xr3:uid="{EC55ECCE-AA3C-47C8-9CAC-D3CD5949335C}" name="If not, what would you like to see improved? (Select all that apply)  "/>
    <tableColumn id="27" xr3:uid="{AD846A27-5A70-4061-8CFF-3AD00508BDB8}" name="awareness_supportservices"/>
    <tableColumn id="28" xr3:uid="{0ADFEB0E-1EC1-410F-A011-547E5DA1544D}" name="If you’ve used these services, how helpful were they in helping you connect with other students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DB4E55-2150-4A53-BF6E-FF99B287C1EC}">
  <we:reference id="wa200000018" version="24.0.0.0" store="en-US" storeType="OMEX"/>
  <we:alternateReferences>
    <we:reference id="wa200000018" version="24.0.0.0" store="WA200000018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59"/>
  <sheetViews>
    <sheetView topLeftCell="H1" workbookViewId="0">
      <pane ySplit="1" topLeftCell="A35" activePane="bottomLeft" state="frozen"/>
      <selection pane="bottomLeft" activeCell="K1" sqref="K1"/>
    </sheetView>
  </sheetViews>
  <sheetFormatPr defaultColWidth="12.6328125" defaultRowHeight="15.75" customHeight="1" x14ac:dyDescent="0.25"/>
  <cols>
    <col min="1" max="2" width="18.90625" customWidth="1"/>
    <col min="3" max="3" width="21.6328125" customWidth="1"/>
    <col min="4" max="4" width="25" customWidth="1"/>
    <col min="5" max="5" width="33.7265625" customWidth="1"/>
    <col min="6" max="6" width="36.36328125" customWidth="1"/>
    <col min="7" max="7" width="30" customWidth="1"/>
    <col min="8" max="12" width="37.6328125" customWidth="1"/>
    <col min="13" max="13" width="28.26953125" customWidth="1"/>
    <col min="14" max="15" width="37.6328125" customWidth="1"/>
    <col min="16" max="16" width="32" customWidth="1"/>
    <col min="17" max="17" width="36.90625" customWidth="1"/>
    <col min="18" max="18" width="31.08984375" customWidth="1"/>
    <col min="19" max="19" width="35.36328125" customWidth="1"/>
    <col min="20" max="28" width="37.6328125" customWidth="1"/>
    <col min="29" max="37" width="18.90625" customWidth="1"/>
  </cols>
  <sheetData>
    <row r="1" spans="1:3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2.5" customHeight="1" x14ac:dyDescent="0.25">
      <c r="A2" s="2">
        <v>45998.874498240737</v>
      </c>
      <c r="B2" s="3">
        <v>22</v>
      </c>
      <c r="C2" s="3" t="s">
        <v>31</v>
      </c>
      <c r="D2" s="3"/>
      <c r="E2" s="3" t="s">
        <v>32</v>
      </c>
      <c r="F2" s="3" t="s">
        <v>33</v>
      </c>
      <c r="G2" s="3" t="s">
        <v>34</v>
      </c>
      <c r="H2" s="3">
        <v>1</v>
      </c>
      <c r="I2" s="3" t="s">
        <v>35</v>
      </c>
      <c r="J2" s="3" t="s">
        <v>36</v>
      </c>
      <c r="K2" s="3" t="s">
        <v>37</v>
      </c>
      <c r="L2" s="3" t="s">
        <v>38</v>
      </c>
      <c r="M2" s="3">
        <v>5</v>
      </c>
      <c r="N2" s="3">
        <v>5</v>
      </c>
      <c r="O2" s="3">
        <v>3</v>
      </c>
      <c r="P2" s="3">
        <v>5</v>
      </c>
      <c r="Q2" s="3">
        <v>5</v>
      </c>
      <c r="R2" s="3">
        <v>5</v>
      </c>
      <c r="S2" s="3">
        <v>3</v>
      </c>
      <c r="T2" s="3" t="s">
        <v>39</v>
      </c>
      <c r="U2" s="3" t="s">
        <v>40</v>
      </c>
      <c r="V2" s="3" t="s">
        <v>40</v>
      </c>
      <c r="W2" s="3" t="s">
        <v>41</v>
      </c>
      <c r="X2" s="3" t="s">
        <v>42</v>
      </c>
      <c r="Y2" s="3" t="s">
        <v>43</v>
      </c>
      <c r="Z2" s="3" t="s">
        <v>44</v>
      </c>
      <c r="AA2" s="3" t="s">
        <v>45</v>
      </c>
      <c r="AB2" s="3">
        <v>3</v>
      </c>
      <c r="AC2" s="3">
        <v>0</v>
      </c>
      <c r="AD2" s="3" t="s">
        <v>46</v>
      </c>
      <c r="AE2" s="3"/>
    </row>
    <row r="3" spans="1:31" ht="22.5" customHeight="1" x14ac:dyDescent="0.25">
      <c r="A3" s="2">
        <v>45998.890589247691</v>
      </c>
      <c r="B3" s="3">
        <v>21</v>
      </c>
      <c r="C3" s="3" t="s">
        <v>31</v>
      </c>
      <c r="E3" s="3" t="s">
        <v>47</v>
      </c>
      <c r="F3" s="3" t="s">
        <v>48</v>
      </c>
      <c r="G3" s="3" t="s">
        <v>49</v>
      </c>
      <c r="H3" s="3">
        <v>1</v>
      </c>
      <c r="I3" s="3" t="s">
        <v>50</v>
      </c>
      <c r="J3" s="3" t="s">
        <v>51</v>
      </c>
      <c r="K3" s="3" t="s">
        <v>52</v>
      </c>
      <c r="L3" s="3" t="s">
        <v>53</v>
      </c>
      <c r="M3" s="3">
        <v>3</v>
      </c>
      <c r="N3" s="3">
        <v>4</v>
      </c>
      <c r="O3" s="3">
        <v>4</v>
      </c>
      <c r="P3" s="3">
        <v>4</v>
      </c>
      <c r="Q3" s="3">
        <v>4</v>
      </c>
      <c r="R3" s="3">
        <v>4</v>
      </c>
      <c r="S3" s="3">
        <v>3</v>
      </c>
      <c r="X3" s="3" t="s">
        <v>54</v>
      </c>
      <c r="Y3" s="3" t="s">
        <v>43</v>
      </c>
      <c r="AA3" s="3" t="s">
        <v>45</v>
      </c>
      <c r="AB3" s="3">
        <v>3</v>
      </c>
      <c r="AC3" s="3" t="s">
        <v>50</v>
      </c>
      <c r="AD3" s="3">
        <v>1</v>
      </c>
    </row>
    <row r="4" spans="1:31" ht="22.5" customHeight="1" x14ac:dyDescent="0.25">
      <c r="A4" s="2">
        <v>45998.909834606486</v>
      </c>
      <c r="B4" s="3">
        <v>22</v>
      </c>
      <c r="C4" s="3" t="s">
        <v>55</v>
      </c>
      <c r="E4" s="3" t="s">
        <v>32</v>
      </c>
      <c r="F4" s="3" t="s">
        <v>56</v>
      </c>
      <c r="G4" s="3" t="s">
        <v>34</v>
      </c>
      <c r="H4" s="3" t="s">
        <v>57</v>
      </c>
      <c r="I4" s="3" t="s">
        <v>58</v>
      </c>
      <c r="J4" s="3" t="s">
        <v>36</v>
      </c>
      <c r="K4" s="3" t="s">
        <v>59</v>
      </c>
      <c r="L4" s="3" t="s">
        <v>60</v>
      </c>
      <c r="M4" s="3">
        <v>3</v>
      </c>
      <c r="N4" s="3">
        <v>4</v>
      </c>
      <c r="O4" s="3">
        <v>4</v>
      </c>
      <c r="P4" s="3">
        <v>3</v>
      </c>
      <c r="Q4" s="3">
        <v>4</v>
      </c>
      <c r="R4" s="3">
        <v>3</v>
      </c>
      <c r="S4" s="3">
        <v>3</v>
      </c>
      <c r="T4" s="3" t="s">
        <v>43</v>
      </c>
      <c r="U4" s="3" t="s">
        <v>61</v>
      </c>
      <c r="V4" s="3" t="s">
        <v>41</v>
      </c>
      <c r="W4" s="3" t="s">
        <v>41</v>
      </c>
      <c r="X4" s="3" t="s">
        <v>62</v>
      </c>
      <c r="Y4" s="3" t="s">
        <v>39</v>
      </c>
      <c r="Z4" s="3" t="s">
        <v>63</v>
      </c>
      <c r="AA4" s="3" t="s">
        <v>64</v>
      </c>
      <c r="AC4" s="3" t="s">
        <v>58</v>
      </c>
      <c r="AD4" s="3" t="s">
        <v>46</v>
      </c>
    </row>
    <row r="5" spans="1:31" ht="22.5" customHeight="1" x14ac:dyDescent="0.25">
      <c r="A5" s="2">
        <v>45998.910641157403</v>
      </c>
      <c r="B5" s="3">
        <v>21</v>
      </c>
      <c r="C5" s="3" t="s">
        <v>31</v>
      </c>
      <c r="E5" s="3" t="s">
        <v>47</v>
      </c>
      <c r="F5" s="3" t="s">
        <v>56</v>
      </c>
      <c r="G5" s="3" t="s">
        <v>34</v>
      </c>
      <c r="H5" s="3">
        <v>1</v>
      </c>
      <c r="I5" s="3" t="s">
        <v>50</v>
      </c>
      <c r="J5" s="3" t="s">
        <v>51</v>
      </c>
      <c r="K5" s="3" t="s">
        <v>65</v>
      </c>
      <c r="L5" s="3" t="s">
        <v>66</v>
      </c>
      <c r="M5" s="3">
        <v>3</v>
      </c>
      <c r="N5" s="3">
        <v>5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 t="s">
        <v>43</v>
      </c>
      <c r="U5" s="3" t="s">
        <v>67</v>
      </c>
      <c r="V5" s="3" t="s">
        <v>68</v>
      </c>
      <c r="W5" s="3" t="s">
        <v>41</v>
      </c>
      <c r="X5" s="3" t="s">
        <v>69</v>
      </c>
      <c r="Y5" s="3" t="s">
        <v>43</v>
      </c>
      <c r="AA5" s="3" t="s">
        <v>64</v>
      </c>
      <c r="AB5" s="3">
        <v>4</v>
      </c>
      <c r="AC5" s="3" t="s">
        <v>58</v>
      </c>
      <c r="AD5" s="3">
        <v>1</v>
      </c>
    </row>
    <row r="6" spans="1:31" ht="22.5" customHeight="1" x14ac:dyDescent="0.25">
      <c r="A6" s="2">
        <v>45998.912076076391</v>
      </c>
      <c r="B6" s="3">
        <v>24</v>
      </c>
      <c r="C6" s="3" t="s">
        <v>31</v>
      </c>
      <c r="E6" s="3" t="s">
        <v>47</v>
      </c>
      <c r="F6" s="3" t="s">
        <v>48</v>
      </c>
      <c r="G6" s="3" t="s">
        <v>49</v>
      </c>
      <c r="H6" s="3">
        <v>2</v>
      </c>
      <c r="I6" s="3" t="s">
        <v>50</v>
      </c>
      <c r="J6" s="3" t="s">
        <v>36</v>
      </c>
      <c r="K6" s="3" t="s">
        <v>65</v>
      </c>
      <c r="L6" s="3" t="s">
        <v>70</v>
      </c>
      <c r="M6" s="3">
        <v>5</v>
      </c>
      <c r="N6" s="3">
        <v>4</v>
      </c>
      <c r="O6" s="3">
        <v>3</v>
      </c>
      <c r="P6" s="3">
        <v>4</v>
      </c>
      <c r="Q6" s="3">
        <v>5</v>
      </c>
      <c r="R6" s="3">
        <v>5</v>
      </c>
      <c r="S6" s="3">
        <v>5</v>
      </c>
      <c r="X6" s="3" t="s">
        <v>71</v>
      </c>
      <c r="Y6" s="3" t="s">
        <v>39</v>
      </c>
      <c r="AA6" s="3" t="s">
        <v>64</v>
      </c>
      <c r="AC6" s="3">
        <v>0</v>
      </c>
      <c r="AD6" s="3" t="s">
        <v>46</v>
      </c>
    </row>
    <row r="7" spans="1:31" ht="22.5" customHeight="1" x14ac:dyDescent="0.25">
      <c r="A7" s="2">
        <v>45998.912303912039</v>
      </c>
      <c r="B7" s="3">
        <v>22</v>
      </c>
      <c r="C7" s="3" t="s">
        <v>55</v>
      </c>
      <c r="E7" s="3" t="s">
        <v>32</v>
      </c>
      <c r="F7" s="3" t="s">
        <v>56</v>
      </c>
      <c r="G7" s="3" t="s">
        <v>49</v>
      </c>
      <c r="H7" s="3">
        <v>2</v>
      </c>
      <c r="I7" s="3" t="s">
        <v>58</v>
      </c>
      <c r="J7" s="3" t="s">
        <v>51</v>
      </c>
      <c r="K7" s="3" t="s">
        <v>52</v>
      </c>
      <c r="L7" s="3" t="s">
        <v>72</v>
      </c>
      <c r="M7" s="3">
        <v>3</v>
      </c>
      <c r="N7" s="3">
        <v>2</v>
      </c>
      <c r="O7" s="3">
        <v>4</v>
      </c>
      <c r="P7" s="3">
        <v>3</v>
      </c>
      <c r="Q7" s="3">
        <v>3</v>
      </c>
      <c r="R7" s="3">
        <v>4</v>
      </c>
      <c r="S7" s="3">
        <v>4</v>
      </c>
      <c r="X7" s="3" t="s">
        <v>73</v>
      </c>
      <c r="Y7" s="3" t="s">
        <v>39</v>
      </c>
      <c r="Z7" s="3" t="s">
        <v>74</v>
      </c>
      <c r="AA7" s="3" t="s">
        <v>45</v>
      </c>
      <c r="AC7" s="3" t="s">
        <v>35</v>
      </c>
      <c r="AD7" s="3" t="s">
        <v>46</v>
      </c>
    </row>
    <row r="8" spans="1:31" ht="22.5" customHeight="1" x14ac:dyDescent="0.25">
      <c r="A8" s="2">
        <v>45998.913375613425</v>
      </c>
      <c r="B8" s="3">
        <v>22</v>
      </c>
      <c r="C8" s="3" t="s">
        <v>31</v>
      </c>
      <c r="E8" s="3" t="s">
        <v>32</v>
      </c>
      <c r="F8" s="3" t="s">
        <v>33</v>
      </c>
      <c r="G8" s="3" t="s">
        <v>49</v>
      </c>
      <c r="H8" s="3" t="s">
        <v>46</v>
      </c>
      <c r="I8" s="3">
        <v>0</v>
      </c>
      <c r="J8" s="3" t="s">
        <v>36</v>
      </c>
      <c r="K8" s="3" t="s">
        <v>75</v>
      </c>
      <c r="L8" s="3" t="s">
        <v>76</v>
      </c>
      <c r="M8" s="3">
        <v>3</v>
      </c>
      <c r="N8" s="3">
        <v>4</v>
      </c>
      <c r="O8" s="3">
        <v>3</v>
      </c>
      <c r="P8" s="3">
        <v>4</v>
      </c>
      <c r="Q8" s="3">
        <v>4</v>
      </c>
      <c r="R8" s="3">
        <v>3</v>
      </c>
      <c r="S8" s="3">
        <v>2</v>
      </c>
      <c r="X8" s="3" t="s">
        <v>77</v>
      </c>
      <c r="Y8" s="3" t="s">
        <v>43</v>
      </c>
      <c r="AA8" s="3" t="s">
        <v>78</v>
      </c>
      <c r="AC8" s="3">
        <v>0</v>
      </c>
      <c r="AD8" s="3" t="s">
        <v>46</v>
      </c>
    </row>
    <row r="9" spans="1:31" ht="22.5" customHeight="1" x14ac:dyDescent="0.25">
      <c r="A9" s="2">
        <v>45998.917754409718</v>
      </c>
      <c r="B9" s="3">
        <v>21</v>
      </c>
      <c r="C9" s="3" t="s">
        <v>55</v>
      </c>
      <c r="E9" s="3" t="s">
        <v>32</v>
      </c>
      <c r="F9" s="3" t="s">
        <v>79</v>
      </c>
      <c r="G9" s="3" t="s">
        <v>49</v>
      </c>
      <c r="H9" s="3">
        <v>2</v>
      </c>
      <c r="I9" s="3" t="s">
        <v>35</v>
      </c>
      <c r="J9" s="3" t="s">
        <v>36</v>
      </c>
      <c r="K9" s="3" t="s">
        <v>37</v>
      </c>
      <c r="L9" s="3" t="s">
        <v>80</v>
      </c>
      <c r="M9" s="3">
        <v>3</v>
      </c>
      <c r="N9" s="3">
        <v>3</v>
      </c>
      <c r="O9" s="3">
        <v>3</v>
      </c>
      <c r="P9" s="3">
        <v>3</v>
      </c>
      <c r="Q9" s="3">
        <v>3</v>
      </c>
      <c r="R9" s="3">
        <v>2</v>
      </c>
      <c r="S9" s="3">
        <v>2</v>
      </c>
      <c r="X9" s="3" t="s">
        <v>81</v>
      </c>
      <c r="Y9" s="3" t="s">
        <v>82</v>
      </c>
      <c r="Z9" s="3" t="s">
        <v>83</v>
      </c>
      <c r="AA9" s="3" t="s">
        <v>64</v>
      </c>
      <c r="AB9" s="3">
        <v>3</v>
      </c>
      <c r="AC9" s="3">
        <v>0</v>
      </c>
      <c r="AD9" s="3" t="s">
        <v>46</v>
      </c>
    </row>
    <row r="10" spans="1:31" ht="22.5" customHeight="1" x14ac:dyDescent="0.25">
      <c r="A10" s="2">
        <v>45998.91810667824</v>
      </c>
      <c r="B10" s="3">
        <v>23</v>
      </c>
      <c r="C10" s="3" t="s">
        <v>31</v>
      </c>
      <c r="E10" s="3" t="s">
        <v>47</v>
      </c>
      <c r="F10" s="3" t="s">
        <v>48</v>
      </c>
      <c r="G10" s="3" t="s">
        <v>49</v>
      </c>
      <c r="H10" s="3" t="s">
        <v>57</v>
      </c>
      <c r="I10" s="3" t="s">
        <v>84</v>
      </c>
      <c r="J10" s="3" t="s">
        <v>51</v>
      </c>
      <c r="K10" s="3" t="s">
        <v>85</v>
      </c>
      <c r="L10" s="3" t="s">
        <v>86</v>
      </c>
      <c r="M10" s="3">
        <v>3</v>
      </c>
      <c r="N10" s="3">
        <v>3</v>
      </c>
      <c r="O10" s="3">
        <v>4</v>
      </c>
      <c r="P10" s="3">
        <v>3</v>
      </c>
      <c r="Q10" s="3">
        <v>4</v>
      </c>
      <c r="R10" s="3">
        <v>5</v>
      </c>
      <c r="S10" s="3">
        <v>2</v>
      </c>
      <c r="X10" s="3" t="s">
        <v>87</v>
      </c>
      <c r="Y10" s="3" t="s">
        <v>82</v>
      </c>
      <c r="Z10" s="3" t="s">
        <v>88</v>
      </c>
      <c r="AA10" s="3" t="s">
        <v>45</v>
      </c>
      <c r="AC10" s="3">
        <v>0</v>
      </c>
      <c r="AD10" s="3" t="s">
        <v>46</v>
      </c>
    </row>
    <row r="11" spans="1:31" ht="22.5" customHeight="1" x14ac:dyDescent="0.25">
      <c r="A11" s="2">
        <v>45998.919903402777</v>
      </c>
      <c r="B11" s="3">
        <v>22</v>
      </c>
      <c r="C11" s="3" t="s">
        <v>31</v>
      </c>
      <c r="E11" s="3" t="s">
        <v>32</v>
      </c>
      <c r="F11" s="3" t="s">
        <v>33</v>
      </c>
      <c r="G11" s="3" t="s">
        <v>49</v>
      </c>
      <c r="H11" s="3" t="s">
        <v>57</v>
      </c>
      <c r="I11" s="3" t="s">
        <v>58</v>
      </c>
      <c r="J11" s="3" t="s">
        <v>36</v>
      </c>
      <c r="K11" s="3" t="s">
        <v>89</v>
      </c>
      <c r="L11" s="3" t="s">
        <v>38</v>
      </c>
      <c r="M11" s="3">
        <v>1</v>
      </c>
      <c r="N11" s="3">
        <v>3</v>
      </c>
      <c r="O11" s="3">
        <v>1</v>
      </c>
      <c r="P11" s="3">
        <v>2</v>
      </c>
      <c r="Q11" s="3">
        <v>2</v>
      </c>
      <c r="R11" s="3">
        <v>3</v>
      </c>
      <c r="S11" s="3">
        <v>1</v>
      </c>
      <c r="X11" s="3" t="s">
        <v>90</v>
      </c>
      <c r="Y11" s="3" t="s">
        <v>82</v>
      </c>
      <c r="Z11" s="3" t="s">
        <v>91</v>
      </c>
      <c r="AA11" s="3" t="s">
        <v>45</v>
      </c>
      <c r="AB11" s="3">
        <v>3</v>
      </c>
      <c r="AC11" s="3" t="s">
        <v>35</v>
      </c>
      <c r="AD11" s="3" t="s">
        <v>46</v>
      </c>
    </row>
    <row r="12" spans="1:31" ht="22.5" customHeight="1" x14ac:dyDescent="0.25">
      <c r="A12" s="2">
        <v>45998.919977164347</v>
      </c>
      <c r="B12" s="3">
        <v>22</v>
      </c>
      <c r="C12" s="3" t="s">
        <v>55</v>
      </c>
      <c r="E12" s="3" t="s">
        <v>32</v>
      </c>
      <c r="F12" s="3" t="s">
        <v>33</v>
      </c>
      <c r="G12" s="3" t="s">
        <v>49</v>
      </c>
      <c r="H12" s="3" t="s">
        <v>46</v>
      </c>
      <c r="I12" s="3">
        <v>0</v>
      </c>
      <c r="J12" s="3" t="s">
        <v>92</v>
      </c>
      <c r="K12" s="3" t="s">
        <v>93</v>
      </c>
      <c r="L12" s="3" t="s">
        <v>94</v>
      </c>
      <c r="M12" s="3">
        <v>1</v>
      </c>
      <c r="N12" s="3">
        <v>2</v>
      </c>
      <c r="O12" s="3">
        <v>3</v>
      </c>
      <c r="P12" s="3">
        <v>3</v>
      </c>
      <c r="Q12" s="3">
        <v>4</v>
      </c>
      <c r="R12" s="3">
        <v>1</v>
      </c>
      <c r="S12" s="3">
        <v>1</v>
      </c>
      <c r="X12" s="3" t="s">
        <v>42</v>
      </c>
      <c r="Y12" s="3" t="s">
        <v>82</v>
      </c>
      <c r="Z12" s="3" t="s">
        <v>95</v>
      </c>
      <c r="AA12" s="3" t="s">
        <v>64</v>
      </c>
      <c r="AC12" s="3">
        <v>0</v>
      </c>
      <c r="AD12" s="3" t="s">
        <v>46</v>
      </c>
    </row>
    <row r="13" spans="1:31" ht="22.5" customHeight="1" x14ac:dyDescent="0.25">
      <c r="A13" s="2">
        <v>45998.920334861112</v>
      </c>
      <c r="B13" s="3">
        <v>21</v>
      </c>
      <c r="C13" s="3" t="s">
        <v>31</v>
      </c>
      <c r="E13" s="3" t="s">
        <v>47</v>
      </c>
      <c r="F13" s="3" t="s">
        <v>48</v>
      </c>
      <c r="G13" s="3" t="s">
        <v>49</v>
      </c>
      <c r="H13" s="3">
        <v>1</v>
      </c>
      <c r="I13" s="3" t="s">
        <v>50</v>
      </c>
      <c r="J13" s="3" t="s">
        <v>36</v>
      </c>
      <c r="K13" s="3" t="s">
        <v>75</v>
      </c>
      <c r="L13" s="3" t="s">
        <v>96</v>
      </c>
      <c r="M13" s="3">
        <v>2</v>
      </c>
      <c r="N13" s="3">
        <v>1</v>
      </c>
      <c r="O13" s="3">
        <v>1</v>
      </c>
      <c r="P13" s="3">
        <v>1</v>
      </c>
      <c r="Q13" s="3">
        <v>1</v>
      </c>
      <c r="R13" s="3">
        <v>4</v>
      </c>
      <c r="S13" s="3">
        <v>1</v>
      </c>
      <c r="X13" s="3" t="s">
        <v>77</v>
      </c>
      <c r="Y13" s="3" t="s">
        <v>43</v>
      </c>
      <c r="AA13" s="3" t="s">
        <v>64</v>
      </c>
      <c r="AC13" s="3">
        <v>0</v>
      </c>
      <c r="AD13" s="3" t="s">
        <v>46</v>
      </c>
    </row>
    <row r="14" spans="1:31" ht="22.5" customHeight="1" x14ac:dyDescent="0.25">
      <c r="A14" s="2">
        <v>45998.925550092594</v>
      </c>
      <c r="B14" s="3">
        <v>24</v>
      </c>
      <c r="C14" s="3" t="s">
        <v>31</v>
      </c>
      <c r="E14" s="3" t="s">
        <v>47</v>
      </c>
      <c r="F14" s="3" t="s">
        <v>48</v>
      </c>
      <c r="G14" s="3" t="s">
        <v>49</v>
      </c>
      <c r="H14" s="3" t="s">
        <v>46</v>
      </c>
      <c r="I14" s="3" t="s">
        <v>35</v>
      </c>
      <c r="J14" s="3" t="s">
        <v>51</v>
      </c>
      <c r="K14" s="3" t="s">
        <v>97</v>
      </c>
      <c r="L14" s="3" t="s">
        <v>53</v>
      </c>
      <c r="M14" s="3">
        <v>4</v>
      </c>
      <c r="N14" s="3">
        <v>4</v>
      </c>
      <c r="O14" s="3">
        <v>4</v>
      </c>
      <c r="P14" s="3">
        <v>4</v>
      </c>
      <c r="Q14" s="3">
        <v>3</v>
      </c>
      <c r="R14" s="3">
        <v>4</v>
      </c>
      <c r="S14" s="3">
        <v>4</v>
      </c>
      <c r="X14" s="3" t="s">
        <v>98</v>
      </c>
      <c r="Y14" s="3" t="s">
        <v>82</v>
      </c>
      <c r="Z14" s="3" t="s">
        <v>44</v>
      </c>
      <c r="AA14" s="3" t="s">
        <v>64</v>
      </c>
      <c r="AC14" s="3" t="s">
        <v>35</v>
      </c>
      <c r="AD14" s="3" t="s">
        <v>46</v>
      </c>
    </row>
    <row r="15" spans="1:31" ht="22.5" customHeight="1" x14ac:dyDescent="0.25">
      <c r="A15" s="2">
        <v>45998.953797303242</v>
      </c>
      <c r="B15" s="3">
        <v>23</v>
      </c>
      <c r="C15" s="3" t="s">
        <v>55</v>
      </c>
      <c r="E15" s="3" t="s">
        <v>32</v>
      </c>
      <c r="F15" s="3" t="s">
        <v>79</v>
      </c>
      <c r="G15" s="3" t="s">
        <v>49</v>
      </c>
      <c r="H15" s="3" t="s">
        <v>46</v>
      </c>
      <c r="I15" s="3">
        <v>0</v>
      </c>
      <c r="J15" s="3" t="s">
        <v>36</v>
      </c>
      <c r="K15" s="3" t="s">
        <v>99</v>
      </c>
      <c r="L15" s="3" t="s">
        <v>100</v>
      </c>
      <c r="M15" s="3">
        <v>2</v>
      </c>
      <c r="N15" s="3">
        <v>4</v>
      </c>
      <c r="O15" s="3">
        <v>3</v>
      </c>
      <c r="P15" s="3">
        <v>2</v>
      </c>
      <c r="Q15" s="3">
        <v>5</v>
      </c>
      <c r="R15" s="3">
        <v>2</v>
      </c>
      <c r="S15" s="3">
        <v>2</v>
      </c>
      <c r="X15" s="3" t="s">
        <v>101</v>
      </c>
      <c r="Y15" s="3" t="s">
        <v>82</v>
      </c>
      <c r="AA15" s="3" t="s">
        <v>64</v>
      </c>
      <c r="AB15" s="3">
        <v>4</v>
      </c>
      <c r="AC15" s="3">
        <v>0</v>
      </c>
      <c r="AD15" s="3" t="s">
        <v>46</v>
      </c>
    </row>
    <row r="16" spans="1:31" ht="22.5" customHeight="1" x14ac:dyDescent="0.25">
      <c r="A16" s="2">
        <v>45998.974426458335</v>
      </c>
      <c r="B16" s="3" t="s">
        <v>102</v>
      </c>
      <c r="C16" s="3" t="s">
        <v>55</v>
      </c>
      <c r="E16" s="3" t="s">
        <v>47</v>
      </c>
      <c r="F16" s="3" t="s">
        <v>79</v>
      </c>
      <c r="G16" s="3" t="s">
        <v>49</v>
      </c>
      <c r="H16" s="3">
        <v>2</v>
      </c>
      <c r="I16" s="3" t="s">
        <v>35</v>
      </c>
      <c r="J16" s="3" t="s">
        <v>36</v>
      </c>
      <c r="K16" s="3" t="s">
        <v>52</v>
      </c>
      <c r="L16" s="3" t="s">
        <v>70</v>
      </c>
      <c r="M16" s="3">
        <v>5</v>
      </c>
      <c r="N16" s="3">
        <v>5</v>
      </c>
      <c r="O16" s="3">
        <v>3</v>
      </c>
      <c r="P16" s="3">
        <v>5</v>
      </c>
      <c r="Q16" s="3">
        <v>5</v>
      </c>
      <c r="R16" s="3">
        <v>5</v>
      </c>
      <c r="S16" s="3">
        <v>3</v>
      </c>
      <c r="X16" s="3" t="s">
        <v>103</v>
      </c>
      <c r="Y16" s="3" t="s">
        <v>82</v>
      </c>
      <c r="Z16" s="3" t="s">
        <v>104</v>
      </c>
      <c r="AA16" s="3" t="s">
        <v>64</v>
      </c>
      <c r="AB16" s="3">
        <v>4</v>
      </c>
      <c r="AC16" s="3" t="s">
        <v>35</v>
      </c>
      <c r="AD16" s="3">
        <v>1</v>
      </c>
    </row>
    <row r="17" spans="1:30" ht="22.5" customHeight="1" x14ac:dyDescent="0.25">
      <c r="A17" s="2">
        <v>45999.119659652773</v>
      </c>
      <c r="B17" s="3">
        <v>23</v>
      </c>
      <c r="C17" s="3" t="s">
        <v>55</v>
      </c>
      <c r="E17" s="3" t="s">
        <v>32</v>
      </c>
      <c r="F17" s="3" t="s">
        <v>56</v>
      </c>
      <c r="G17" s="3" t="s">
        <v>34</v>
      </c>
      <c r="H17" s="3" t="s">
        <v>57</v>
      </c>
      <c r="I17" s="3" t="s">
        <v>84</v>
      </c>
      <c r="J17" s="3" t="s">
        <v>51</v>
      </c>
      <c r="K17" s="3" t="s">
        <v>75</v>
      </c>
      <c r="L17" s="3" t="s">
        <v>66</v>
      </c>
      <c r="M17" s="3">
        <v>4</v>
      </c>
      <c r="N17" s="3">
        <v>4</v>
      </c>
      <c r="O17" s="3">
        <v>4</v>
      </c>
      <c r="P17" s="3">
        <v>4</v>
      </c>
      <c r="Q17" s="3">
        <v>4</v>
      </c>
      <c r="R17" s="3">
        <v>5</v>
      </c>
      <c r="S17" s="3">
        <v>5</v>
      </c>
      <c r="T17" s="3" t="s">
        <v>39</v>
      </c>
      <c r="U17" s="3" t="s">
        <v>61</v>
      </c>
      <c r="V17" s="3" t="s">
        <v>40</v>
      </c>
      <c r="W17" s="3" t="s">
        <v>41</v>
      </c>
      <c r="X17" s="3" t="s">
        <v>105</v>
      </c>
      <c r="Y17" s="3" t="s">
        <v>43</v>
      </c>
      <c r="Z17" s="3" t="s">
        <v>106</v>
      </c>
      <c r="AA17" s="3" t="s">
        <v>64</v>
      </c>
      <c r="AB17" s="3">
        <v>4</v>
      </c>
      <c r="AC17" s="3" t="s">
        <v>50</v>
      </c>
      <c r="AD17" s="3" t="s">
        <v>46</v>
      </c>
    </row>
    <row r="18" spans="1:30" ht="22.5" customHeight="1" x14ac:dyDescent="0.25">
      <c r="A18" s="2">
        <v>45999.130932048611</v>
      </c>
      <c r="B18" s="3" t="s">
        <v>107</v>
      </c>
      <c r="C18" s="3" t="s">
        <v>31</v>
      </c>
      <c r="E18" s="3" t="s">
        <v>47</v>
      </c>
      <c r="F18" s="3" t="s">
        <v>79</v>
      </c>
      <c r="G18" s="3" t="s">
        <v>49</v>
      </c>
      <c r="H18" s="3" t="s">
        <v>46</v>
      </c>
      <c r="I18" s="3" t="s">
        <v>50</v>
      </c>
      <c r="J18" s="3" t="s">
        <v>36</v>
      </c>
      <c r="K18" s="3" t="s">
        <v>89</v>
      </c>
      <c r="L18" s="3" t="s">
        <v>108</v>
      </c>
      <c r="M18" s="3">
        <v>3</v>
      </c>
      <c r="N18" s="3">
        <v>3</v>
      </c>
      <c r="O18" s="3">
        <v>3</v>
      </c>
      <c r="P18" s="3">
        <v>3</v>
      </c>
      <c r="Q18" s="3">
        <v>3</v>
      </c>
      <c r="R18" s="3">
        <v>2</v>
      </c>
      <c r="S18" s="3">
        <v>1</v>
      </c>
      <c r="X18" s="3" t="s">
        <v>73</v>
      </c>
      <c r="Y18" s="3" t="s">
        <v>39</v>
      </c>
      <c r="Z18" s="3" t="s">
        <v>109</v>
      </c>
      <c r="AA18" s="3" t="s">
        <v>64</v>
      </c>
      <c r="AB18" s="3">
        <v>3</v>
      </c>
      <c r="AC18" s="3" t="s">
        <v>50</v>
      </c>
      <c r="AD18" s="3" t="s">
        <v>57</v>
      </c>
    </row>
    <row r="19" spans="1:30" ht="22.5" customHeight="1" x14ac:dyDescent="0.25">
      <c r="A19" s="2">
        <v>45999.278363391204</v>
      </c>
      <c r="B19" s="3">
        <v>22</v>
      </c>
      <c r="C19" s="3" t="s">
        <v>31</v>
      </c>
      <c r="E19" s="3" t="s">
        <v>47</v>
      </c>
      <c r="F19" s="3" t="s">
        <v>56</v>
      </c>
      <c r="G19" s="3" t="s">
        <v>49</v>
      </c>
      <c r="H19" s="3">
        <v>2</v>
      </c>
      <c r="I19" s="3" t="s">
        <v>50</v>
      </c>
      <c r="J19" s="3" t="s">
        <v>36</v>
      </c>
      <c r="K19" s="3" t="s">
        <v>99</v>
      </c>
      <c r="L19" s="3" t="s">
        <v>70</v>
      </c>
      <c r="M19" s="3">
        <v>2</v>
      </c>
      <c r="N19" s="3">
        <v>3</v>
      </c>
      <c r="O19" s="3">
        <v>2</v>
      </c>
      <c r="P19" s="3">
        <v>5</v>
      </c>
      <c r="Q19" s="3">
        <v>3</v>
      </c>
      <c r="R19" s="3">
        <v>3</v>
      </c>
      <c r="S19" s="3">
        <v>3</v>
      </c>
      <c r="X19" s="3" t="s">
        <v>110</v>
      </c>
      <c r="Y19" s="3" t="s">
        <v>82</v>
      </c>
      <c r="Z19" s="3" t="s">
        <v>111</v>
      </c>
      <c r="AA19" s="3" t="s">
        <v>64</v>
      </c>
      <c r="AB19" s="3">
        <v>3</v>
      </c>
      <c r="AC19" s="3">
        <v>0</v>
      </c>
      <c r="AD19" s="3">
        <v>2</v>
      </c>
    </row>
    <row r="20" spans="1:30" ht="22.5" customHeight="1" x14ac:dyDescent="0.25">
      <c r="A20" s="2">
        <v>45999.293747002317</v>
      </c>
      <c r="B20" s="3">
        <v>22</v>
      </c>
      <c r="C20" s="3" t="s">
        <v>55</v>
      </c>
      <c r="E20" s="3" t="s">
        <v>32</v>
      </c>
      <c r="F20" s="3" t="s">
        <v>79</v>
      </c>
      <c r="G20" s="3" t="s">
        <v>49</v>
      </c>
      <c r="H20" s="3" t="s">
        <v>46</v>
      </c>
      <c r="I20" s="3">
        <v>0</v>
      </c>
      <c r="J20" s="3" t="s">
        <v>36</v>
      </c>
      <c r="K20" s="3" t="s">
        <v>75</v>
      </c>
      <c r="L20" s="3" t="s">
        <v>112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  <c r="R20" s="3">
        <v>3</v>
      </c>
      <c r="S20" s="3">
        <v>3</v>
      </c>
      <c r="X20" s="3" t="s">
        <v>113</v>
      </c>
      <c r="Y20" s="3" t="s">
        <v>43</v>
      </c>
      <c r="Z20" s="3" t="s">
        <v>104</v>
      </c>
      <c r="AA20" s="3" t="s">
        <v>45</v>
      </c>
      <c r="AB20" s="3">
        <v>3</v>
      </c>
      <c r="AC20" s="3">
        <v>0</v>
      </c>
      <c r="AD20" s="3" t="s">
        <v>46</v>
      </c>
    </row>
    <row r="21" spans="1:30" ht="22.5" customHeight="1" x14ac:dyDescent="0.25">
      <c r="A21" s="2">
        <v>45999.323911886575</v>
      </c>
      <c r="B21" s="3">
        <v>21</v>
      </c>
      <c r="C21" s="3" t="s">
        <v>31</v>
      </c>
      <c r="E21" s="3" t="s">
        <v>32</v>
      </c>
      <c r="F21" s="3" t="s">
        <v>79</v>
      </c>
      <c r="G21" s="3" t="s">
        <v>49</v>
      </c>
      <c r="H21" s="3">
        <v>2</v>
      </c>
      <c r="I21" s="3" t="s">
        <v>50</v>
      </c>
      <c r="J21" s="3" t="s">
        <v>36</v>
      </c>
      <c r="K21" s="3" t="s">
        <v>93</v>
      </c>
      <c r="L21" s="3" t="s">
        <v>100</v>
      </c>
      <c r="M21" s="3">
        <v>4</v>
      </c>
      <c r="N21" s="3">
        <v>5</v>
      </c>
      <c r="O21" s="3">
        <v>3</v>
      </c>
      <c r="P21" s="3">
        <v>4</v>
      </c>
      <c r="Q21" s="3">
        <v>5</v>
      </c>
      <c r="R21" s="3">
        <v>4</v>
      </c>
      <c r="S21" s="3">
        <v>4</v>
      </c>
      <c r="X21" s="3" t="s">
        <v>103</v>
      </c>
      <c r="Y21" s="3" t="s">
        <v>82</v>
      </c>
      <c r="Z21" s="3" t="s">
        <v>114</v>
      </c>
      <c r="AA21" s="3" t="s">
        <v>78</v>
      </c>
      <c r="AC21" s="3" t="s">
        <v>50</v>
      </c>
      <c r="AD21" s="3">
        <v>1</v>
      </c>
    </row>
    <row r="22" spans="1:30" ht="22.5" customHeight="1" x14ac:dyDescent="0.25">
      <c r="A22" s="2">
        <v>45999.414520590275</v>
      </c>
      <c r="B22" s="3">
        <v>23</v>
      </c>
      <c r="C22" s="3" t="s">
        <v>55</v>
      </c>
      <c r="E22" s="3" t="s">
        <v>47</v>
      </c>
      <c r="F22" s="3" t="s">
        <v>79</v>
      </c>
      <c r="G22" s="3" t="s">
        <v>49</v>
      </c>
      <c r="H22" s="3">
        <v>2</v>
      </c>
      <c r="I22" s="3" t="s">
        <v>50</v>
      </c>
      <c r="J22" s="3" t="s">
        <v>36</v>
      </c>
      <c r="K22" s="3" t="s">
        <v>93</v>
      </c>
      <c r="L22" s="3" t="s">
        <v>112</v>
      </c>
      <c r="M22" s="3">
        <v>3</v>
      </c>
      <c r="N22" s="3">
        <v>3</v>
      </c>
      <c r="O22" s="3">
        <v>3</v>
      </c>
      <c r="P22" s="3">
        <v>4</v>
      </c>
      <c r="Q22" s="3">
        <v>4</v>
      </c>
      <c r="R22" s="3">
        <v>2</v>
      </c>
      <c r="S22" s="3">
        <v>2</v>
      </c>
      <c r="X22" s="3" t="s">
        <v>115</v>
      </c>
      <c r="Y22" s="3" t="s">
        <v>39</v>
      </c>
      <c r="Z22" s="3" t="s">
        <v>116</v>
      </c>
      <c r="AA22" s="3" t="s">
        <v>64</v>
      </c>
      <c r="AC22" s="3" t="s">
        <v>50</v>
      </c>
      <c r="AD22" s="3">
        <v>1</v>
      </c>
    </row>
    <row r="23" spans="1:30" ht="22.5" customHeight="1" x14ac:dyDescent="0.25">
      <c r="A23" s="2">
        <v>45999.509208506948</v>
      </c>
      <c r="B23" s="3">
        <v>22</v>
      </c>
      <c r="C23" s="3" t="s">
        <v>55</v>
      </c>
      <c r="E23" s="3" t="s">
        <v>47</v>
      </c>
      <c r="F23" s="3" t="s">
        <v>48</v>
      </c>
      <c r="G23" s="3" t="s">
        <v>49</v>
      </c>
      <c r="H23" s="3" t="s">
        <v>57</v>
      </c>
      <c r="I23" s="3" t="s">
        <v>35</v>
      </c>
      <c r="J23" s="3" t="s">
        <v>51</v>
      </c>
      <c r="K23" s="3" t="s">
        <v>52</v>
      </c>
      <c r="L23" s="3" t="s">
        <v>117</v>
      </c>
      <c r="M23" s="3">
        <v>4</v>
      </c>
      <c r="N23" s="3">
        <v>4</v>
      </c>
      <c r="O23" s="3">
        <v>4</v>
      </c>
      <c r="P23" s="3">
        <v>4</v>
      </c>
      <c r="Q23" s="3">
        <v>4</v>
      </c>
      <c r="R23" s="3">
        <v>3</v>
      </c>
      <c r="S23" s="3">
        <v>3</v>
      </c>
      <c r="X23" s="3" t="s">
        <v>118</v>
      </c>
      <c r="Y23" s="3" t="s">
        <v>43</v>
      </c>
      <c r="Z23" s="3" t="s">
        <v>106</v>
      </c>
      <c r="AA23" s="3" t="s">
        <v>64</v>
      </c>
      <c r="AB23" s="3">
        <v>4</v>
      </c>
      <c r="AC23" s="3">
        <v>0</v>
      </c>
      <c r="AD23" s="3" t="s">
        <v>46</v>
      </c>
    </row>
    <row r="24" spans="1:30" ht="22.5" customHeight="1" x14ac:dyDescent="0.25">
      <c r="A24" s="2">
        <v>45999.568167430552</v>
      </c>
      <c r="B24" s="3">
        <v>22</v>
      </c>
      <c r="C24" s="3" t="s">
        <v>31</v>
      </c>
      <c r="E24" s="3" t="s">
        <v>32</v>
      </c>
      <c r="F24" s="3" t="s">
        <v>33</v>
      </c>
      <c r="G24" s="3" t="s">
        <v>49</v>
      </c>
      <c r="H24" s="3">
        <v>1</v>
      </c>
      <c r="I24" s="3" t="s">
        <v>58</v>
      </c>
      <c r="J24" s="3" t="s">
        <v>51</v>
      </c>
      <c r="K24" s="3" t="s">
        <v>99</v>
      </c>
      <c r="L24" s="3" t="s">
        <v>119</v>
      </c>
      <c r="M24" s="3">
        <v>5</v>
      </c>
      <c r="N24" s="3">
        <v>5</v>
      </c>
      <c r="O24" s="3">
        <v>3</v>
      </c>
      <c r="P24" s="3">
        <v>4</v>
      </c>
      <c r="Q24" s="3">
        <v>3</v>
      </c>
      <c r="R24" s="3">
        <v>3</v>
      </c>
      <c r="S24" s="3">
        <v>3</v>
      </c>
      <c r="X24" s="3" t="s">
        <v>120</v>
      </c>
      <c r="Y24" s="3" t="s">
        <v>39</v>
      </c>
      <c r="Z24" s="3" t="s">
        <v>121</v>
      </c>
      <c r="AA24" s="3" t="s">
        <v>45</v>
      </c>
      <c r="AB24" s="3">
        <v>1</v>
      </c>
      <c r="AC24" s="3" t="s">
        <v>50</v>
      </c>
      <c r="AD24" s="3" t="s">
        <v>46</v>
      </c>
    </row>
    <row r="25" spans="1:30" ht="22.5" customHeight="1" x14ac:dyDescent="0.25">
      <c r="A25" s="2">
        <v>45999.688085787042</v>
      </c>
      <c r="B25" s="3">
        <v>23</v>
      </c>
      <c r="C25" s="3" t="s">
        <v>55</v>
      </c>
      <c r="E25" s="3" t="s">
        <v>47</v>
      </c>
      <c r="F25" s="3" t="s">
        <v>48</v>
      </c>
      <c r="G25" s="3" t="s">
        <v>34</v>
      </c>
      <c r="H25" s="3">
        <v>1</v>
      </c>
      <c r="I25" s="3" t="s">
        <v>50</v>
      </c>
      <c r="J25" s="3" t="s">
        <v>36</v>
      </c>
      <c r="K25" s="3" t="s">
        <v>122</v>
      </c>
      <c r="L25" s="3" t="s">
        <v>70</v>
      </c>
      <c r="M25" s="3">
        <v>4</v>
      </c>
      <c r="N25" s="3">
        <v>5</v>
      </c>
      <c r="O25" s="3">
        <v>4</v>
      </c>
      <c r="P25" s="3">
        <v>3</v>
      </c>
      <c r="Q25" s="3">
        <v>3</v>
      </c>
      <c r="R25" s="3">
        <v>5</v>
      </c>
      <c r="S25" s="3">
        <v>5</v>
      </c>
      <c r="T25" s="3" t="s">
        <v>43</v>
      </c>
      <c r="U25" s="3" t="s">
        <v>40</v>
      </c>
      <c r="V25" s="3" t="s">
        <v>41</v>
      </c>
      <c r="W25" s="3" t="s">
        <v>41</v>
      </c>
      <c r="X25" s="3" t="s">
        <v>123</v>
      </c>
      <c r="Y25" s="3" t="s">
        <v>43</v>
      </c>
      <c r="AA25" s="3" t="s">
        <v>45</v>
      </c>
      <c r="AB25" s="3">
        <v>4</v>
      </c>
      <c r="AC25" s="3" t="s">
        <v>50</v>
      </c>
      <c r="AD25" s="3" t="s">
        <v>46</v>
      </c>
    </row>
    <row r="26" spans="1:30" ht="22.5" customHeight="1" x14ac:dyDescent="0.25">
      <c r="A26" s="2">
        <v>45999.837897893522</v>
      </c>
      <c r="B26" s="3">
        <v>23</v>
      </c>
      <c r="C26" s="3" t="s">
        <v>31</v>
      </c>
      <c r="E26" s="3" t="s">
        <v>124</v>
      </c>
      <c r="F26" s="3" t="s">
        <v>33</v>
      </c>
      <c r="G26" s="3" t="s">
        <v>49</v>
      </c>
      <c r="H26" s="3" t="s">
        <v>57</v>
      </c>
      <c r="I26" s="3" t="s">
        <v>50</v>
      </c>
      <c r="J26" s="3" t="s">
        <v>51</v>
      </c>
      <c r="K26" s="3" t="s">
        <v>93</v>
      </c>
      <c r="L26" s="3" t="s">
        <v>60</v>
      </c>
      <c r="M26" s="3">
        <v>3</v>
      </c>
      <c r="N26" s="3">
        <v>4</v>
      </c>
      <c r="O26" s="3">
        <v>4</v>
      </c>
      <c r="P26" s="3">
        <v>4</v>
      </c>
      <c r="Q26" s="3">
        <v>4</v>
      </c>
      <c r="R26" s="3">
        <v>4</v>
      </c>
      <c r="S26" s="3">
        <v>4</v>
      </c>
      <c r="X26" s="3" t="s">
        <v>125</v>
      </c>
      <c r="Y26" s="3" t="s">
        <v>43</v>
      </c>
      <c r="Z26" s="3" t="s">
        <v>126</v>
      </c>
      <c r="AA26" s="3" t="s">
        <v>64</v>
      </c>
      <c r="AB26" s="3">
        <v>4</v>
      </c>
      <c r="AC26" s="3">
        <v>0</v>
      </c>
      <c r="AD26" s="3" t="s">
        <v>46</v>
      </c>
    </row>
    <row r="27" spans="1:30" ht="22.5" customHeight="1" x14ac:dyDescent="0.25">
      <c r="A27" s="2">
        <v>45999.849882372684</v>
      </c>
      <c r="B27" s="3">
        <v>22</v>
      </c>
      <c r="C27" s="3" t="s">
        <v>55</v>
      </c>
      <c r="E27" s="3" t="s">
        <v>32</v>
      </c>
      <c r="F27" s="3" t="s">
        <v>79</v>
      </c>
      <c r="G27" s="3" t="s">
        <v>49</v>
      </c>
      <c r="H27" s="3">
        <v>2</v>
      </c>
      <c r="I27" s="3" t="s">
        <v>50</v>
      </c>
      <c r="J27" s="3" t="s">
        <v>51</v>
      </c>
      <c r="K27" s="3" t="s">
        <v>37</v>
      </c>
      <c r="L27" s="3" t="s">
        <v>127</v>
      </c>
      <c r="M27" s="3">
        <v>5</v>
      </c>
      <c r="N27" s="3">
        <v>5</v>
      </c>
      <c r="O27" s="3">
        <v>5</v>
      </c>
      <c r="P27" s="3">
        <v>3</v>
      </c>
      <c r="Q27" s="3">
        <v>5</v>
      </c>
      <c r="R27" s="3">
        <v>5</v>
      </c>
      <c r="S27" s="3">
        <v>5</v>
      </c>
      <c r="X27" s="3" t="s">
        <v>128</v>
      </c>
      <c r="Y27" s="3" t="s">
        <v>43</v>
      </c>
      <c r="Z27" s="3" t="s">
        <v>106</v>
      </c>
      <c r="AA27" s="3" t="s">
        <v>45</v>
      </c>
      <c r="AC27" s="3">
        <v>0</v>
      </c>
      <c r="AD27" s="3" t="s">
        <v>46</v>
      </c>
    </row>
    <row r="28" spans="1:30" ht="22.5" customHeight="1" x14ac:dyDescent="0.25">
      <c r="A28" s="2">
        <v>45999.855043472227</v>
      </c>
      <c r="B28" s="3">
        <v>22</v>
      </c>
      <c r="C28" s="3" t="s">
        <v>31</v>
      </c>
      <c r="E28" s="3" t="s">
        <v>32</v>
      </c>
      <c r="F28" s="3" t="s">
        <v>79</v>
      </c>
      <c r="G28" s="3" t="s">
        <v>49</v>
      </c>
      <c r="H28" s="3">
        <v>1</v>
      </c>
      <c r="I28" s="3" t="s">
        <v>50</v>
      </c>
      <c r="J28" s="3" t="s">
        <v>36</v>
      </c>
      <c r="K28" s="3" t="s">
        <v>129</v>
      </c>
      <c r="L28" s="3" t="s">
        <v>60</v>
      </c>
      <c r="M28" s="3">
        <v>5</v>
      </c>
      <c r="N28" s="3">
        <v>5</v>
      </c>
      <c r="O28" s="3">
        <v>3</v>
      </c>
      <c r="P28" s="3">
        <v>5</v>
      </c>
      <c r="Q28" s="3">
        <v>5</v>
      </c>
      <c r="R28" s="3">
        <v>5</v>
      </c>
      <c r="S28" s="3">
        <v>5</v>
      </c>
      <c r="X28" s="3" t="s">
        <v>130</v>
      </c>
      <c r="Y28" s="3" t="s">
        <v>43</v>
      </c>
      <c r="AA28" s="3" t="s">
        <v>64</v>
      </c>
      <c r="AB28" s="3">
        <v>4</v>
      </c>
      <c r="AC28" s="3" t="s">
        <v>35</v>
      </c>
      <c r="AD28" s="3" t="s">
        <v>46</v>
      </c>
    </row>
    <row r="29" spans="1:30" ht="22.5" customHeight="1" x14ac:dyDescent="0.25">
      <c r="A29" s="2">
        <v>45999.856162662036</v>
      </c>
      <c r="B29" s="3">
        <v>23</v>
      </c>
      <c r="C29" s="3" t="s">
        <v>55</v>
      </c>
      <c r="E29" s="3" t="s">
        <v>47</v>
      </c>
      <c r="F29" s="3" t="s">
        <v>56</v>
      </c>
      <c r="G29" s="3" t="s">
        <v>34</v>
      </c>
      <c r="H29" s="3" t="s">
        <v>46</v>
      </c>
      <c r="I29" s="3">
        <v>0</v>
      </c>
      <c r="J29" s="3" t="s">
        <v>36</v>
      </c>
      <c r="K29" s="3" t="s">
        <v>122</v>
      </c>
      <c r="L29" s="3" t="s">
        <v>66</v>
      </c>
      <c r="M29" s="3">
        <v>4</v>
      </c>
      <c r="N29" s="3">
        <v>2</v>
      </c>
      <c r="O29" s="3">
        <v>1</v>
      </c>
      <c r="P29" s="3">
        <v>1</v>
      </c>
      <c r="Q29" s="3">
        <v>5</v>
      </c>
      <c r="R29" s="3">
        <v>1</v>
      </c>
      <c r="S29" s="3">
        <v>1</v>
      </c>
      <c r="T29" s="3" t="s">
        <v>39</v>
      </c>
      <c r="U29" s="3" t="s">
        <v>61</v>
      </c>
      <c r="V29" s="3" t="s">
        <v>41</v>
      </c>
      <c r="W29" s="3" t="s">
        <v>61</v>
      </c>
      <c r="X29" s="3" t="s">
        <v>131</v>
      </c>
      <c r="Y29" s="3" t="s">
        <v>43</v>
      </c>
      <c r="AA29" s="3" t="s">
        <v>45</v>
      </c>
      <c r="AC29" s="3">
        <v>0</v>
      </c>
      <c r="AD29" s="3" t="s">
        <v>46</v>
      </c>
    </row>
    <row r="30" spans="1:30" ht="22.5" customHeight="1" x14ac:dyDescent="0.25">
      <c r="A30" s="2">
        <v>45999.862423692131</v>
      </c>
      <c r="B30" s="3">
        <v>23</v>
      </c>
      <c r="C30" s="3" t="s">
        <v>55</v>
      </c>
      <c r="E30" s="3" t="s">
        <v>47</v>
      </c>
      <c r="F30" s="3" t="s">
        <v>56</v>
      </c>
      <c r="G30" s="3" t="s">
        <v>49</v>
      </c>
      <c r="H30" s="3">
        <v>1</v>
      </c>
      <c r="I30" s="3" t="s">
        <v>50</v>
      </c>
      <c r="J30" s="3" t="s">
        <v>36</v>
      </c>
      <c r="K30" s="3" t="s">
        <v>132</v>
      </c>
      <c r="L30" s="3" t="s">
        <v>70</v>
      </c>
      <c r="M30" s="3">
        <v>3</v>
      </c>
      <c r="N30" s="3">
        <v>4</v>
      </c>
      <c r="O30" s="3">
        <v>2</v>
      </c>
      <c r="P30" s="3">
        <v>2</v>
      </c>
      <c r="Q30" s="3">
        <v>2</v>
      </c>
      <c r="R30" s="3">
        <v>2</v>
      </c>
      <c r="S30" s="3">
        <v>1</v>
      </c>
      <c r="X30" s="3" t="s">
        <v>133</v>
      </c>
      <c r="Y30" s="3" t="s">
        <v>43</v>
      </c>
      <c r="Z30" s="3" t="s">
        <v>134</v>
      </c>
      <c r="AA30" s="3" t="s">
        <v>64</v>
      </c>
      <c r="AB30" s="3">
        <v>2</v>
      </c>
      <c r="AC30" s="3" t="s">
        <v>50</v>
      </c>
      <c r="AD30" s="3">
        <v>1</v>
      </c>
    </row>
    <row r="31" spans="1:30" ht="22.5" customHeight="1" x14ac:dyDescent="0.25">
      <c r="A31" s="2">
        <v>45999.883393854165</v>
      </c>
      <c r="B31" s="3">
        <v>23</v>
      </c>
      <c r="C31" s="3" t="s">
        <v>55</v>
      </c>
      <c r="E31" s="3" t="s">
        <v>124</v>
      </c>
      <c r="F31" s="3" t="s">
        <v>79</v>
      </c>
      <c r="G31" s="3" t="s">
        <v>49</v>
      </c>
      <c r="H31" s="3">
        <v>2</v>
      </c>
      <c r="I31" s="3" t="s">
        <v>50</v>
      </c>
      <c r="J31" s="3" t="s">
        <v>36</v>
      </c>
      <c r="K31" s="3" t="s">
        <v>65</v>
      </c>
      <c r="L31" s="3" t="s">
        <v>135</v>
      </c>
      <c r="M31" s="3">
        <v>4</v>
      </c>
      <c r="N31" s="3">
        <v>4</v>
      </c>
      <c r="O31" s="3">
        <v>2</v>
      </c>
      <c r="P31" s="3">
        <v>3</v>
      </c>
      <c r="Q31" s="3">
        <v>3</v>
      </c>
      <c r="R31" s="3">
        <v>4</v>
      </c>
      <c r="S31" s="3">
        <v>4</v>
      </c>
      <c r="X31" s="3" t="s">
        <v>136</v>
      </c>
      <c r="Y31" s="3" t="s">
        <v>43</v>
      </c>
      <c r="AA31" s="3" t="s">
        <v>64</v>
      </c>
      <c r="AB31" s="3">
        <v>3</v>
      </c>
      <c r="AC31" s="3">
        <v>0</v>
      </c>
      <c r="AD31" s="3" t="s">
        <v>46</v>
      </c>
    </row>
    <row r="32" spans="1:30" ht="22.5" customHeight="1" x14ac:dyDescent="0.25">
      <c r="A32" s="2">
        <v>45999.90648208333</v>
      </c>
      <c r="B32" s="3">
        <v>23</v>
      </c>
      <c r="C32" s="3" t="s">
        <v>55</v>
      </c>
      <c r="E32" s="3" t="s">
        <v>124</v>
      </c>
      <c r="F32" s="3" t="s">
        <v>79</v>
      </c>
      <c r="G32" s="3" t="s">
        <v>49</v>
      </c>
      <c r="H32" s="3">
        <v>1</v>
      </c>
      <c r="I32" s="3" t="s">
        <v>35</v>
      </c>
      <c r="J32" s="3" t="s">
        <v>36</v>
      </c>
      <c r="K32" s="3" t="s">
        <v>137</v>
      </c>
      <c r="L32" s="3" t="s">
        <v>138</v>
      </c>
      <c r="M32" s="3">
        <v>3</v>
      </c>
      <c r="N32" s="3">
        <v>3</v>
      </c>
      <c r="O32" s="3">
        <v>3</v>
      </c>
      <c r="P32" s="3">
        <v>4</v>
      </c>
      <c r="Q32" s="3">
        <v>2</v>
      </c>
      <c r="R32" s="3">
        <v>5</v>
      </c>
      <c r="S32" s="3">
        <v>3</v>
      </c>
      <c r="X32" s="3" t="s">
        <v>139</v>
      </c>
      <c r="Y32" s="3" t="s">
        <v>82</v>
      </c>
      <c r="Z32" s="3" t="s">
        <v>134</v>
      </c>
      <c r="AA32" s="3" t="s">
        <v>45</v>
      </c>
      <c r="AC32" s="3">
        <v>0</v>
      </c>
      <c r="AD32" s="3" t="s">
        <v>46</v>
      </c>
    </row>
    <row r="33" spans="1:30" ht="22.5" customHeight="1" x14ac:dyDescent="0.25">
      <c r="A33" s="2">
        <v>45999.994913784722</v>
      </c>
      <c r="B33" s="3">
        <v>23</v>
      </c>
      <c r="C33" s="3" t="s">
        <v>55</v>
      </c>
      <c r="E33" s="3" t="s">
        <v>47</v>
      </c>
      <c r="F33" s="3" t="s">
        <v>79</v>
      </c>
      <c r="G33" s="3" t="s">
        <v>49</v>
      </c>
      <c r="H33" s="3">
        <v>2</v>
      </c>
      <c r="I33" s="3" t="s">
        <v>50</v>
      </c>
      <c r="J33" s="3" t="s">
        <v>36</v>
      </c>
      <c r="K33" s="3" t="s">
        <v>140</v>
      </c>
      <c r="L33" s="3" t="s">
        <v>141</v>
      </c>
      <c r="M33" s="3">
        <v>4</v>
      </c>
      <c r="N33" s="3">
        <v>4</v>
      </c>
      <c r="O33" s="3">
        <v>1</v>
      </c>
      <c r="P33" s="3">
        <v>3</v>
      </c>
      <c r="Q33" s="3">
        <v>4</v>
      </c>
      <c r="R33" s="3">
        <v>3</v>
      </c>
      <c r="S33" s="3">
        <v>4</v>
      </c>
      <c r="X33" s="3" t="s">
        <v>142</v>
      </c>
      <c r="Y33" s="3" t="s">
        <v>82</v>
      </c>
      <c r="Z33" s="3" t="s">
        <v>143</v>
      </c>
      <c r="AA33" s="3" t="s">
        <v>64</v>
      </c>
      <c r="AB33" s="3">
        <v>2</v>
      </c>
      <c r="AC33" s="3">
        <v>0</v>
      </c>
      <c r="AD33" s="3" t="s">
        <v>46</v>
      </c>
    </row>
    <row r="34" spans="1:30" ht="22.5" customHeight="1" x14ac:dyDescent="0.25">
      <c r="A34" s="2">
        <v>45999.996577268517</v>
      </c>
      <c r="B34" s="3">
        <v>23</v>
      </c>
      <c r="C34" s="3" t="s">
        <v>55</v>
      </c>
      <c r="E34" s="3" t="s">
        <v>47</v>
      </c>
      <c r="F34" s="3" t="s">
        <v>48</v>
      </c>
      <c r="G34" s="3" t="s">
        <v>49</v>
      </c>
      <c r="H34" s="3">
        <v>2</v>
      </c>
      <c r="I34" s="3" t="s">
        <v>50</v>
      </c>
      <c r="J34" s="3" t="s">
        <v>51</v>
      </c>
      <c r="K34" s="3" t="s">
        <v>99</v>
      </c>
      <c r="L34" s="3" t="s">
        <v>108</v>
      </c>
      <c r="M34" s="3">
        <v>3</v>
      </c>
      <c r="N34" s="3">
        <v>2</v>
      </c>
      <c r="O34" s="3">
        <v>2</v>
      </c>
      <c r="P34" s="3">
        <v>5</v>
      </c>
      <c r="Q34" s="3">
        <v>5</v>
      </c>
      <c r="R34" s="3">
        <v>4</v>
      </c>
      <c r="S34" s="3">
        <v>2</v>
      </c>
      <c r="X34" s="3" t="s">
        <v>144</v>
      </c>
      <c r="Y34" s="3" t="s">
        <v>82</v>
      </c>
      <c r="Z34" s="3" t="s">
        <v>106</v>
      </c>
      <c r="AA34" s="3" t="s">
        <v>45</v>
      </c>
      <c r="AC34" s="3">
        <v>0</v>
      </c>
      <c r="AD34" s="3" t="s">
        <v>46</v>
      </c>
    </row>
    <row r="35" spans="1:30" ht="22.5" customHeight="1" x14ac:dyDescent="0.25">
      <c r="A35" s="2">
        <v>46000.766111493052</v>
      </c>
      <c r="B35" s="3">
        <v>22</v>
      </c>
      <c r="C35" s="3" t="s">
        <v>55</v>
      </c>
      <c r="E35" s="3" t="s">
        <v>32</v>
      </c>
      <c r="F35" s="3" t="s">
        <v>79</v>
      </c>
      <c r="G35" s="3" t="s">
        <v>49</v>
      </c>
      <c r="H35" s="3">
        <v>1</v>
      </c>
      <c r="I35" s="3" t="s">
        <v>50</v>
      </c>
      <c r="J35" s="3" t="s">
        <v>36</v>
      </c>
      <c r="K35" s="3" t="s">
        <v>93</v>
      </c>
      <c r="L35" s="3" t="s">
        <v>66</v>
      </c>
      <c r="M35" s="3">
        <v>3</v>
      </c>
      <c r="N35" s="3">
        <v>4</v>
      </c>
      <c r="O35" s="3">
        <v>3</v>
      </c>
      <c r="P35" s="3">
        <v>4</v>
      </c>
      <c r="Q35" s="3">
        <v>2</v>
      </c>
      <c r="R35" s="3">
        <v>5</v>
      </c>
      <c r="S35" s="3">
        <v>3</v>
      </c>
      <c r="X35" s="3" t="s">
        <v>125</v>
      </c>
      <c r="Y35" s="3" t="s">
        <v>43</v>
      </c>
      <c r="AA35" s="3" t="s">
        <v>64</v>
      </c>
      <c r="AC35" s="3" t="s">
        <v>50</v>
      </c>
      <c r="AD35" s="3" t="s">
        <v>46</v>
      </c>
    </row>
    <row r="36" spans="1:30" ht="22.5" customHeight="1" x14ac:dyDescent="0.25">
      <c r="A36" s="2">
        <v>46000.82924958333</v>
      </c>
      <c r="B36" s="3">
        <v>22</v>
      </c>
      <c r="C36" s="3" t="s">
        <v>55</v>
      </c>
      <c r="E36" s="3" t="s">
        <v>47</v>
      </c>
      <c r="F36" s="3" t="s">
        <v>79</v>
      </c>
      <c r="G36" s="3" t="s">
        <v>49</v>
      </c>
      <c r="H36" s="3" t="s">
        <v>57</v>
      </c>
      <c r="I36" s="3" t="s">
        <v>50</v>
      </c>
      <c r="J36" s="3" t="s">
        <v>36</v>
      </c>
      <c r="K36" s="3" t="s">
        <v>137</v>
      </c>
      <c r="L36" s="3" t="s">
        <v>138</v>
      </c>
      <c r="M36" s="3">
        <v>5</v>
      </c>
      <c r="N36" s="3">
        <v>5</v>
      </c>
      <c r="O36" s="3">
        <v>5</v>
      </c>
      <c r="P36" s="3">
        <v>4</v>
      </c>
      <c r="Q36" s="3">
        <v>4</v>
      </c>
      <c r="R36" s="3">
        <v>5</v>
      </c>
      <c r="S36" s="3">
        <v>5</v>
      </c>
      <c r="X36" s="3" t="s">
        <v>145</v>
      </c>
      <c r="Y36" s="3" t="s">
        <v>43</v>
      </c>
      <c r="AA36" s="3" t="s">
        <v>64</v>
      </c>
      <c r="AB36" s="3">
        <v>4</v>
      </c>
      <c r="AC36" s="3">
        <v>0</v>
      </c>
      <c r="AD36" s="3" t="s">
        <v>46</v>
      </c>
    </row>
    <row r="37" spans="1:30" ht="22.5" customHeight="1" x14ac:dyDescent="0.25">
      <c r="A37" s="2">
        <v>46000.843744560188</v>
      </c>
      <c r="B37" s="3">
        <v>22</v>
      </c>
      <c r="C37" s="3" t="s">
        <v>55</v>
      </c>
      <c r="E37" s="3" t="s">
        <v>47</v>
      </c>
      <c r="F37" s="3" t="s">
        <v>56</v>
      </c>
      <c r="G37" s="3" t="s">
        <v>49</v>
      </c>
      <c r="H37" s="3">
        <v>1</v>
      </c>
      <c r="I37" s="3" t="s">
        <v>50</v>
      </c>
      <c r="J37" s="3" t="s">
        <v>36</v>
      </c>
      <c r="K37" s="3" t="s">
        <v>93</v>
      </c>
      <c r="L37" s="3" t="s">
        <v>108</v>
      </c>
      <c r="M37" s="3">
        <v>5</v>
      </c>
      <c r="N37" s="3">
        <v>4</v>
      </c>
      <c r="O37" s="3">
        <v>3</v>
      </c>
      <c r="P37" s="3">
        <v>5</v>
      </c>
      <c r="Q37" s="3">
        <v>4</v>
      </c>
      <c r="R37" s="3">
        <v>3</v>
      </c>
      <c r="S37" s="3">
        <v>3</v>
      </c>
      <c r="X37" s="3" t="s">
        <v>123</v>
      </c>
      <c r="Y37" s="3" t="s">
        <v>43</v>
      </c>
      <c r="AA37" s="3" t="s">
        <v>64</v>
      </c>
      <c r="AC37" s="3">
        <v>0</v>
      </c>
      <c r="AD37" s="3" t="s">
        <v>46</v>
      </c>
    </row>
    <row r="38" spans="1:30" ht="22.5" customHeight="1" x14ac:dyDescent="0.25">
      <c r="A38" s="2">
        <v>46000.862615185186</v>
      </c>
      <c r="B38" s="3">
        <v>23</v>
      </c>
      <c r="C38" s="3" t="s">
        <v>55</v>
      </c>
      <c r="E38" s="3" t="s">
        <v>32</v>
      </c>
      <c r="F38" s="3" t="s">
        <v>33</v>
      </c>
      <c r="G38" s="3" t="s">
        <v>49</v>
      </c>
      <c r="H38" s="3">
        <v>1</v>
      </c>
      <c r="I38" s="3" t="s">
        <v>35</v>
      </c>
      <c r="J38" s="3" t="s">
        <v>36</v>
      </c>
      <c r="K38" s="3" t="s">
        <v>89</v>
      </c>
      <c r="L38" s="3" t="s">
        <v>53</v>
      </c>
      <c r="M38" s="3">
        <v>1</v>
      </c>
      <c r="N38" s="3">
        <v>2</v>
      </c>
      <c r="O38" s="3">
        <v>4</v>
      </c>
      <c r="P38" s="3">
        <v>2</v>
      </c>
      <c r="Q38" s="3">
        <v>1</v>
      </c>
      <c r="R38" s="3">
        <v>3</v>
      </c>
      <c r="S38" s="3">
        <v>1</v>
      </c>
      <c r="X38" s="3" t="s">
        <v>42</v>
      </c>
      <c r="Y38" s="3" t="s">
        <v>82</v>
      </c>
      <c r="Z38" s="3" t="s">
        <v>104</v>
      </c>
      <c r="AA38" s="3" t="s">
        <v>64</v>
      </c>
      <c r="AC38" s="3">
        <v>0</v>
      </c>
      <c r="AD38" s="3" t="s">
        <v>46</v>
      </c>
    </row>
    <row r="39" spans="1:30" ht="22.5" customHeight="1" x14ac:dyDescent="0.25">
      <c r="A39" s="2">
        <v>46000.938419108796</v>
      </c>
      <c r="B39" s="3">
        <v>23</v>
      </c>
      <c r="C39" s="3" t="s">
        <v>55</v>
      </c>
      <c r="E39" s="3" t="s">
        <v>47</v>
      </c>
      <c r="F39" s="3" t="s">
        <v>48</v>
      </c>
      <c r="G39" s="3" t="s">
        <v>49</v>
      </c>
      <c r="H39" s="3">
        <v>2</v>
      </c>
      <c r="I39" s="3" t="s">
        <v>50</v>
      </c>
      <c r="J39" s="3" t="s">
        <v>51</v>
      </c>
      <c r="K39" s="3" t="s">
        <v>129</v>
      </c>
      <c r="L39" s="3" t="s">
        <v>53</v>
      </c>
      <c r="M39" s="3">
        <v>5</v>
      </c>
      <c r="N39" s="3">
        <v>4</v>
      </c>
      <c r="O39" s="3">
        <v>5</v>
      </c>
      <c r="P39" s="3">
        <v>5</v>
      </c>
      <c r="Q39" s="3">
        <v>4</v>
      </c>
      <c r="R39" s="3">
        <v>4</v>
      </c>
      <c r="S39" s="3">
        <v>5</v>
      </c>
      <c r="X39" s="3" t="s">
        <v>146</v>
      </c>
      <c r="Y39" s="3" t="s">
        <v>43</v>
      </c>
      <c r="Z39" s="3" t="s">
        <v>147</v>
      </c>
      <c r="AA39" s="3" t="s">
        <v>64</v>
      </c>
      <c r="AB39" s="3">
        <v>4</v>
      </c>
      <c r="AC39" s="3" t="s">
        <v>50</v>
      </c>
      <c r="AD39" s="3" t="s">
        <v>46</v>
      </c>
    </row>
    <row r="40" spans="1:30" ht="22.5" customHeight="1" x14ac:dyDescent="0.25">
      <c r="A40" s="2">
        <v>46001.497043622687</v>
      </c>
      <c r="B40" s="3">
        <v>23</v>
      </c>
      <c r="C40" s="3" t="s">
        <v>55</v>
      </c>
      <c r="E40" s="3" t="s">
        <v>32</v>
      </c>
      <c r="F40" s="3" t="s">
        <v>33</v>
      </c>
      <c r="G40" s="3" t="s">
        <v>49</v>
      </c>
      <c r="H40" s="3">
        <v>1</v>
      </c>
      <c r="I40" s="3" t="s">
        <v>50</v>
      </c>
      <c r="J40" s="3" t="s">
        <v>36</v>
      </c>
      <c r="K40" s="3" t="s">
        <v>148</v>
      </c>
      <c r="L40" s="3" t="s">
        <v>149</v>
      </c>
      <c r="M40" s="3">
        <v>3</v>
      </c>
      <c r="N40" s="3">
        <v>4</v>
      </c>
      <c r="O40" s="3">
        <v>4</v>
      </c>
      <c r="P40" s="3">
        <v>5</v>
      </c>
      <c r="Q40" s="3">
        <v>4</v>
      </c>
      <c r="R40" s="3">
        <v>4</v>
      </c>
      <c r="S40" s="3">
        <v>2</v>
      </c>
      <c r="X40" s="3" t="s">
        <v>150</v>
      </c>
      <c r="Y40" s="3" t="s">
        <v>39</v>
      </c>
      <c r="Z40" s="3" t="s">
        <v>63</v>
      </c>
      <c r="AA40" s="3" t="s">
        <v>64</v>
      </c>
      <c r="AB40" s="3">
        <v>3</v>
      </c>
      <c r="AC40" s="3">
        <v>0</v>
      </c>
      <c r="AD40" s="3" t="s">
        <v>46</v>
      </c>
    </row>
    <row r="41" spans="1:30" ht="22.5" customHeight="1" x14ac:dyDescent="0.25">
      <c r="A41" s="2">
        <v>46001.49802186343</v>
      </c>
      <c r="B41" s="3">
        <v>22</v>
      </c>
      <c r="C41" s="3" t="s">
        <v>55</v>
      </c>
      <c r="E41" s="3" t="s">
        <v>47</v>
      </c>
      <c r="F41" s="3" t="s">
        <v>48</v>
      </c>
      <c r="G41" s="3" t="s">
        <v>34</v>
      </c>
      <c r="H41" s="3">
        <v>2</v>
      </c>
      <c r="I41" s="3" t="s">
        <v>35</v>
      </c>
      <c r="J41" s="3" t="s">
        <v>51</v>
      </c>
      <c r="K41" s="3" t="s">
        <v>129</v>
      </c>
      <c r="L41" s="3" t="s">
        <v>70</v>
      </c>
      <c r="M41" s="3">
        <v>4</v>
      </c>
      <c r="N41" s="3">
        <v>4</v>
      </c>
      <c r="O41" s="3">
        <v>4</v>
      </c>
      <c r="P41" s="3">
        <v>3</v>
      </c>
      <c r="Q41" s="3">
        <v>3</v>
      </c>
      <c r="R41" s="3">
        <v>4</v>
      </c>
      <c r="S41" s="3">
        <v>3</v>
      </c>
      <c r="T41" s="3" t="s">
        <v>43</v>
      </c>
      <c r="U41" s="3" t="s">
        <v>68</v>
      </c>
      <c r="V41" s="3" t="s">
        <v>67</v>
      </c>
      <c r="W41" s="3" t="s">
        <v>67</v>
      </c>
      <c r="X41" s="3" t="s">
        <v>118</v>
      </c>
      <c r="Y41" s="3" t="s">
        <v>43</v>
      </c>
      <c r="AA41" s="3" t="s">
        <v>64</v>
      </c>
      <c r="AB41" s="3">
        <v>3</v>
      </c>
      <c r="AC41" s="3">
        <v>0</v>
      </c>
      <c r="AD41" s="3" t="s">
        <v>46</v>
      </c>
    </row>
    <row r="42" spans="1:30" ht="22.5" customHeight="1" x14ac:dyDescent="0.25">
      <c r="A42" s="2">
        <v>46001.608421909725</v>
      </c>
      <c r="B42" s="3">
        <v>22</v>
      </c>
      <c r="C42" s="3" t="s">
        <v>151</v>
      </c>
      <c r="E42" s="3" t="s">
        <v>47</v>
      </c>
      <c r="F42" s="3" t="s">
        <v>48</v>
      </c>
      <c r="G42" s="3" t="s">
        <v>49</v>
      </c>
      <c r="H42" s="3" t="s">
        <v>46</v>
      </c>
      <c r="I42" s="3">
        <v>0</v>
      </c>
      <c r="J42" s="3" t="s">
        <v>92</v>
      </c>
      <c r="K42" s="3" t="s">
        <v>122</v>
      </c>
      <c r="L42" s="3" t="s">
        <v>127</v>
      </c>
      <c r="M42" s="3">
        <v>3</v>
      </c>
      <c r="N42" s="3">
        <v>1</v>
      </c>
      <c r="O42" s="3">
        <v>1</v>
      </c>
      <c r="P42" s="3">
        <v>4</v>
      </c>
      <c r="Q42" s="3">
        <v>3</v>
      </c>
      <c r="R42" s="3">
        <v>5</v>
      </c>
      <c r="S42" s="3">
        <v>3</v>
      </c>
      <c r="X42" s="3" t="s">
        <v>46</v>
      </c>
      <c r="Y42" s="3" t="s">
        <v>82</v>
      </c>
      <c r="Z42" s="3" t="s">
        <v>134</v>
      </c>
      <c r="AA42" s="3" t="s">
        <v>45</v>
      </c>
      <c r="AB42" s="3">
        <v>3</v>
      </c>
      <c r="AC42" s="3">
        <v>0</v>
      </c>
      <c r="AD42" s="3" t="s">
        <v>46</v>
      </c>
    </row>
    <row r="43" spans="1:30" ht="22.5" customHeight="1" x14ac:dyDescent="0.25">
      <c r="A43" s="2">
        <v>46002.967290081018</v>
      </c>
      <c r="B43" s="3">
        <v>23</v>
      </c>
      <c r="C43" s="3" t="s">
        <v>55</v>
      </c>
      <c r="E43" s="3" t="s">
        <v>47</v>
      </c>
      <c r="F43" s="3" t="s">
        <v>56</v>
      </c>
      <c r="G43" s="3" t="s">
        <v>49</v>
      </c>
      <c r="H43" s="3">
        <v>2</v>
      </c>
      <c r="I43" s="3">
        <v>0</v>
      </c>
      <c r="J43" s="3" t="s">
        <v>36</v>
      </c>
      <c r="K43" s="3" t="s">
        <v>93</v>
      </c>
      <c r="L43" s="3" t="s">
        <v>108</v>
      </c>
      <c r="M43" s="3">
        <v>5</v>
      </c>
      <c r="N43" s="3">
        <v>4</v>
      </c>
      <c r="O43" s="3">
        <v>4</v>
      </c>
      <c r="P43" s="3">
        <v>5</v>
      </c>
      <c r="Q43" s="3">
        <v>5</v>
      </c>
      <c r="R43" s="3">
        <v>4</v>
      </c>
      <c r="S43" s="3">
        <v>4</v>
      </c>
      <c r="X43" s="3" t="s">
        <v>87</v>
      </c>
      <c r="Y43" s="3" t="s">
        <v>43</v>
      </c>
      <c r="Z43" s="3" t="s">
        <v>152</v>
      </c>
      <c r="AA43" s="3" t="s">
        <v>64</v>
      </c>
      <c r="AB43" s="3">
        <v>4</v>
      </c>
      <c r="AC43" s="3" t="s">
        <v>50</v>
      </c>
      <c r="AD43" s="3">
        <v>2</v>
      </c>
    </row>
    <row r="44" spans="1:30" ht="22.5" customHeight="1" x14ac:dyDescent="0.25">
      <c r="A44" s="2">
        <v>46002.971500023152</v>
      </c>
      <c r="B44" s="3">
        <v>23</v>
      </c>
      <c r="C44" s="3" t="s">
        <v>31</v>
      </c>
      <c r="E44" s="3" t="s">
        <v>47</v>
      </c>
      <c r="F44" s="3" t="s">
        <v>48</v>
      </c>
      <c r="G44" s="3" t="s">
        <v>49</v>
      </c>
      <c r="H44" s="3">
        <v>1</v>
      </c>
      <c r="I44" s="3" t="s">
        <v>50</v>
      </c>
      <c r="J44" s="3" t="s">
        <v>36</v>
      </c>
      <c r="K44" s="3" t="s">
        <v>93</v>
      </c>
      <c r="L44" s="3" t="s">
        <v>53</v>
      </c>
      <c r="M44" s="3">
        <v>4</v>
      </c>
      <c r="N44" s="3">
        <v>4</v>
      </c>
      <c r="O44" s="3">
        <v>4</v>
      </c>
      <c r="P44" s="3">
        <v>4</v>
      </c>
      <c r="Q44" s="3">
        <v>4</v>
      </c>
      <c r="R44" s="3">
        <v>4</v>
      </c>
      <c r="S44" s="3">
        <v>4</v>
      </c>
      <c r="X44" s="3" t="s">
        <v>153</v>
      </c>
      <c r="Y44" s="3" t="s">
        <v>43</v>
      </c>
      <c r="Z44" s="3" t="s">
        <v>111</v>
      </c>
      <c r="AA44" s="3" t="s">
        <v>64</v>
      </c>
      <c r="AB44" s="3">
        <v>3</v>
      </c>
      <c r="AC44" s="3">
        <v>0</v>
      </c>
      <c r="AD44" s="3" t="s">
        <v>46</v>
      </c>
    </row>
    <row r="45" spans="1:30" ht="22.5" customHeight="1" x14ac:dyDescent="0.25">
      <c r="A45" s="2">
        <v>46003.262341666668</v>
      </c>
      <c r="B45" s="3">
        <v>23</v>
      </c>
      <c r="C45" s="3" t="s">
        <v>31</v>
      </c>
      <c r="E45" s="3" t="s">
        <v>47</v>
      </c>
      <c r="F45" s="3" t="s">
        <v>48</v>
      </c>
      <c r="G45" s="3" t="s">
        <v>49</v>
      </c>
      <c r="H45" s="3" t="s">
        <v>57</v>
      </c>
      <c r="I45" s="3" t="s">
        <v>58</v>
      </c>
      <c r="J45" s="3" t="s">
        <v>51</v>
      </c>
      <c r="K45" s="3" t="s">
        <v>140</v>
      </c>
      <c r="L45" s="3" t="s">
        <v>66</v>
      </c>
      <c r="M45" s="3">
        <v>5</v>
      </c>
      <c r="N45" s="3">
        <v>5</v>
      </c>
      <c r="O45" s="3">
        <v>5</v>
      </c>
      <c r="P45" s="3">
        <v>5</v>
      </c>
      <c r="Q45" s="3">
        <v>5</v>
      </c>
      <c r="R45" s="3">
        <v>5</v>
      </c>
      <c r="S45" s="3">
        <v>5</v>
      </c>
      <c r="X45" s="3" t="s">
        <v>144</v>
      </c>
      <c r="Y45" s="3" t="s">
        <v>43</v>
      </c>
      <c r="Z45" s="3" t="s">
        <v>154</v>
      </c>
      <c r="AA45" s="3" t="s">
        <v>64</v>
      </c>
      <c r="AB45" s="3">
        <v>3</v>
      </c>
      <c r="AC45" s="3" t="s">
        <v>35</v>
      </c>
      <c r="AD45" s="3" t="s">
        <v>46</v>
      </c>
    </row>
    <row r="46" spans="1:30" ht="22.5" customHeight="1" x14ac:dyDescent="0.25">
      <c r="A46" s="2">
        <v>46003.847477569449</v>
      </c>
      <c r="B46" s="3">
        <v>23</v>
      </c>
      <c r="C46" s="3" t="s">
        <v>55</v>
      </c>
      <c r="E46" s="3" t="s">
        <v>47</v>
      </c>
      <c r="F46" s="3" t="s">
        <v>56</v>
      </c>
      <c r="G46" s="3" t="s">
        <v>49</v>
      </c>
      <c r="H46" s="3" t="s">
        <v>46</v>
      </c>
      <c r="I46" s="3">
        <v>0</v>
      </c>
      <c r="J46" s="3" t="s">
        <v>36</v>
      </c>
      <c r="K46" s="3" t="s">
        <v>75</v>
      </c>
      <c r="L46" s="3" t="s">
        <v>72</v>
      </c>
      <c r="M46" s="3">
        <v>4</v>
      </c>
      <c r="N46" s="3">
        <v>4</v>
      </c>
      <c r="O46" s="3">
        <v>4</v>
      </c>
      <c r="P46" s="3">
        <v>4</v>
      </c>
      <c r="Q46" s="3">
        <v>4</v>
      </c>
      <c r="R46" s="3">
        <v>4</v>
      </c>
      <c r="S46" s="3">
        <v>4</v>
      </c>
      <c r="X46" s="3" t="s">
        <v>133</v>
      </c>
      <c r="Y46" s="3" t="s">
        <v>43</v>
      </c>
      <c r="AA46" s="3" t="s">
        <v>64</v>
      </c>
      <c r="AB46" s="3">
        <v>3</v>
      </c>
      <c r="AC46" s="3">
        <v>0</v>
      </c>
      <c r="AD46" s="3" t="s">
        <v>46</v>
      </c>
    </row>
    <row r="47" spans="1:30" ht="22.5" customHeight="1" x14ac:dyDescent="0.25">
      <c r="A47" s="2">
        <v>46003.923899606481</v>
      </c>
      <c r="B47" s="3">
        <v>23</v>
      </c>
      <c r="C47" s="3" t="s">
        <v>31</v>
      </c>
      <c r="E47" s="3" t="s">
        <v>47</v>
      </c>
      <c r="F47" s="3" t="s">
        <v>56</v>
      </c>
      <c r="G47" s="3" t="s">
        <v>155</v>
      </c>
      <c r="H47" s="3">
        <v>1</v>
      </c>
      <c r="I47" s="3" t="s">
        <v>50</v>
      </c>
      <c r="J47" s="3" t="s">
        <v>36</v>
      </c>
      <c r="K47" s="3" t="s">
        <v>75</v>
      </c>
      <c r="L47" s="3" t="s">
        <v>156</v>
      </c>
      <c r="M47" s="3">
        <v>3</v>
      </c>
      <c r="N47" s="3">
        <v>3</v>
      </c>
      <c r="O47" s="3">
        <v>3</v>
      </c>
      <c r="P47" s="3">
        <v>3</v>
      </c>
      <c r="Q47" s="3">
        <v>1</v>
      </c>
      <c r="R47" s="3">
        <v>2</v>
      </c>
      <c r="S47" s="3">
        <v>3</v>
      </c>
      <c r="X47" s="3" t="s">
        <v>157</v>
      </c>
      <c r="Y47" s="3" t="s">
        <v>43</v>
      </c>
      <c r="AA47" s="3" t="s">
        <v>45</v>
      </c>
      <c r="AC47" s="3" t="s">
        <v>50</v>
      </c>
      <c r="AD47" s="3" t="s">
        <v>46</v>
      </c>
    </row>
    <row r="48" spans="1:30" ht="22.5" customHeight="1" x14ac:dyDescent="0.25">
      <c r="A48" s="2">
        <v>46005.510257175927</v>
      </c>
      <c r="B48" s="3" t="s">
        <v>158</v>
      </c>
      <c r="C48" s="3" t="s">
        <v>55</v>
      </c>
      <c r="E48" s="3" t="s">
        <v>47</v>
      </c>
      <c r="F48" s="3" t="s">
        <v>56</v>
      </c>
      <c r="G48" s="3" t="s">
        <v>34</v>
      </c>
      <c r="H48" s="3">
        <v>1</v>
      </c>
      <c r="I48" s="3" t="s">
        <v>35</v>
      </c>
      <c r="J48" s="3" t="s">
        <v>51</v>
      </c>
      <c r="K48" s="3" t="s">
        <v>159</v>
      </c>
      <c r="L48" s="3" t="s">
        <v>70</v>
      </c>
      <c r="M48" s="3">
        <v>4</v>
      </c>
      <c r="N48" s="3">
        <v>4</v>
      </c>
      <c r="O48" s="3">
        <v>4</v>
      </c>
      <c r="P48" s="3">
        <v>4</v>
      </c>
      <c r="Q48" s="3">
        <v>2</v>
      </c>
      <c r="R48" s="3">
        <v>4</v>
      </c>
      <c r="S48" s="3">
        <v>4</v>
      </c>
      <c r="T48" s="3" t="s">
        <v>43</v>
      </c>
      <c r="U48" s="3" t="s">
        <v>41</v>
      </c>
      <c r="V48" s="3" t="s">
        <v>41</v>
      </c>
      <c r="W48" s="3" t="s">
        <v>41</v>
      </c>
      <c r="X48" s="3" t="s">
        <v>160</v>
      </c>
      <c r="Y48" s="3" t="s">
        <v>39</v>
      </c>
      <c r="Z48" s="3" t="s">
        <v>63</v>
      </c>
      <c r="AA48" s="3" t="s">
        <v>64</v>
      </c>
      <c r="AB48" s="3">
        <v>3</v>
      </c>
      <c r="AC48" s="3" t="s">
        <v>50</v>
      </c>
      <c r="AD48" s="3">
        <v>1</v>
      </c>
    </row>
    <row r="49" spans="1:30" ht="22.5" customHeight="1" x14ac:dyDescent="0.25">
      <c r="A49" s="2">
        <v>46005.726623680559</v>
      </c>
      <c r="B49" s="3">
        <v>23</v>
      </c>
      <c r="C49" s="3" t="s">
        <v>55</v>
      </c>
      <c r="E49" s="3" t="s">
        <v>32</v>
      </c>
      <c r="F49" s="3" t="s">
        <v>33</v>
      </c>
      <c r="G49" s="3" t="s">
        <v>49</v>
      </c>
      <c r="H49" s="3" t="s">
        <v>46</v>
      </c>
      <c r="I49" s="3">
        <v>0</v>
      </c>
      <c r="J49" s="3" t="s">
        <v>36</v>
      </c>
      <c r="K49" s="3" t="s">
        <v>137</v>
      </c>
      <c r="L49" s="3" t="s">
        <v>112</v>
      </c>
      <c r="M49" s="3">
        <v>5</v>
      </c>
      <c r="N49" s="3">
        <v>5</v>
      </c>
      <c r="O49" s="3">
        <v>5</v>
      </c>
      <c r="P49" s="3">
        <v>5</v>
      </c>
      <c r="Q49" s="3">
        <v>4</v>
      </c>
      <c r="R49" s="3">
        <v>5</v>
      </c>
      <c r="S49" s="3">
        <v>4</v>
      </c>
      <c r="X49" s="3" t="s">
        <v>161</v>
      </c>
      <c r="Y49" s="3" t="s">
        <v>43</v>
      </c>
      <c r="AA49" s="3" t="s">
        <v>64</v>
      </c>
      <c r="AC49" s="3">
        <v>0</v>
      </c>
      <c r="AD49" s="3" t="s">
        <v>46</v>
      </c>
    </row>
    <row r="50" spans="1:30" ht="22.5" customHeight="1" x14ac:dyDescent="0.25">
      <c r="A50" s="2">
        <v>46005.735426354164</v>
      </c>
      <c r="B50" s="3">
        <v>24</v>
      </c>
      <c r="C50" s="3" t="s">
        <v>55</v>
      </c>
      <c r="E50" s="3" t="s">
        <v>32</v>
      </c>
      <c r="F50" s="3" t="s">
        <v>33</v>
      </c>
      <c r="G50" s="3" t="s">
        <v>49</v>
      </c>
      <c r="H50" s="3" t="s">
        <v>46</v>
      </c>
      <c r="I50" s="3">
        <v>0</v>
      </c>
      <c r="J50" s="3" t="s">
        <v>36</v>
      </c>
      <c r="K50" s="3" t="s">
        <v>93</v>
      </c>
      <c r="L50" s="3" t="s">
        <v>70</v>
      </c>
      <c r="M50" s="3">
        <v>4</v>
      </c>
      <c r="N50" s="3">
        <v>4</v>
      </c>
      <c r="O50" s="3">
        <v>4</v>
      </c>
      <c r="P50" s="3">
        <v>5</v>
      </c>
      <c r="Q50" s="3">
        <v>4</v>
      </c>
      <c r="R50" s="3">
        <v>4</v>
      </c>
      <c r="S50" s="3">
        <v>4</v>
      </c>
      <c r="X50" s="3" t="s">
        <v>161</v>
      </c>
      <c r="Y50" s="3" t="s">
        <v>43</v>
      </c>
      <c r="AA50" s="3" t="s">
        <v>64</v>
      </c>
      <c r="AB50" s="3">
        <v>3</v>
      </c>
      <c r="AC50" s="3">
        <v>0</v>
      </c>
      <c r="AD50" s="3" t="s">
        <v>46</v>
      </c>
    </row>
    <row r="51" spans="1:30" ht="22.5" customHeight="1" x14ac:dyDescent="0.25">
      <c r="A51" s="2">
        <v>46005.735580567125</v>
      </c>
      <c r="B51" s="3">
        <v>23</v>
      </c>
      <c r="C51" s="3" t="s">
        <v>31</v>
      </c>
      <c r="E51" s="3" t="s">
        <v>47</v>
      </c>
      <c r="F51" s="3" t="s">
        <v>79</v>
      </c>
      <c r="G51" s="3" t="s">
        <v>49</v>
      </c>
      <c r="H51" s="3" t="s">
        <v>46</v>
      </c>
      <c r="I51" s="3" t="s">
        <v>50</v>
      </c>
      <c r="J51" s="3" t="s">
        <v>36</v>
      </c>
      <c r="K51" s="3" t="s">
        <v>162</v>
      </c>
      <c r="L51" s="3" t="s">
        <v>86</v>
      </c>
      <c r="M51" s="3">
        <v>4</v>
      </c>
      <c r="N51" s="3">
        <v>3</v>
      </c>
      <c r="O51" s="3">
        <v>2</v>
      </c>
      <c r="P51" s="3">
        <v>4</v>
      </c>
      <c r="Q51" s="3">
        <v>4</v>
      </c>
      <c r="R51" s="3">
        <v>4</v>
      </c>
      <c r="S51" s="3">
        <v>2</v>
      </c>
      <c r="X51" s="3" t="s">
        <v>163</v>
      </c>
      <c r="Y51" s="3" t="s">
        <v>82</v>
      </c>
      <c r="Z51" s="3" t="s">
        <v>164</v>
      </c>
      <c r="AA51" s="3" t="s">
        <v>45</v>
      </c>
      <c r="AC51" s="3" t="s">
        <v>35</v>
      </c>
      <c r="AD51" s="3" t="s">
        <v>46</v>
      </c>
    </row>
    <row r="52" spans="1:30" ht="22.5" customHeight="1" x14ac:dyDescent="0.25">
      <c r="A52" s="2">
        <v>46005.782843263893</v>
      </c>
      <c r="B52" s="3">
        <v>23</v>
      </c>
      <c r="C52" s="3" t="s">
        <v>55</v>
      </c>
      <c r="E52" s="3" t="s">
        <v>47</v>
      </c>
      <c r="F52" s="3" t="s">
        <v>79</v>
      </c>
      <c r="G52" s="3" t="s">
        <v>49</v>
      </c>
      <c r="H52" s="3" t="s">
        <v>46</v>
      </c>
      <c r="I52" s="3">
        <v>0</v>
      </c>
      <c r="J52" s="3" t="s">
        <v>36</v>
      </c>
      <c r="K52" s="3" t="s">
        <v>165</v>
      </c>
      <c r="L52" s="3" t="s">
        <v>166</v>
      </c>
      <c r="M52" s="3">
        <v>1</v>
      </c>
      <c r="N52" s="3">
        <v>2</v>
      </c>
      <c r="O52" s="3">
        <v>1</v>
      </c>
      <c r="P52" s="3">
        <v>1</v>
      </c>
      <c r="Q52" s="3">
        <v>3</v>
      </c>
      <c r="R52" s="3">
        <v>1</v>
      </c>
      <c r="S52" s="3">
        <v>1</v>
      </c>
      <c r="X52" s="3" t="s">
        <v>167</v>
      </c>
      <c r="Y52" s="3" t="s">
        <v>43</v>
      </c>
      <c r="Z52" s="3" t="s">
        <v>91</v>
      </c>
      <c r="AA52" s="3" t="s">
        <v>45</v>
      </c>
      <c r="AC52" s="3" t="s">
        <v>35</v>
      </c>
      <c r="AD52" s="3" t="s">
        <v>46</v>
      </c>
    </row>
    <row r="53" spans="1:30" ht="22.5" customHeight="1" x14ac:dyDescent="0.25">
      <c r="A53" s="2">
        <v>46005.784479699076</v>
      </c>
      <c r="B53" s="3">
        <v>24</v>
      </c>
      <c r="C53" s="3" t="s">
        <v>55</v>
      </c>
      <c r="E53" s="3" t="s">
        <v>32</v>
      </c>
      <c r="F53" s="3" t="s">
        <v>33</v>
      </c>
      <c r="G53" s="3" t="s">
        <v>34</v>
      </c>
      <c r="H53" s="3">
        <v>2</v>
      </c>
      <c r="I53" s="3" t="s">
        <v>50</v>
      </c>
      <c r="J53" s="3" t="s">
        <v>51</v>
      </c>
      <c r="K53" s="3" t="s">
        <v>93</v>
      </c>
      <c r="L53" s="3" t="s">
        <v>70</v>
      </c>
      <c r="M53" s="3">
        <v>3</v>
      </c>
      <c r="N53" s="3">
        <v>3</v>
      </c>
      <c r="O53" s="3">
        <v>3</v>
      </c>
      <c r="P53" s="3">
        <v>3</v>
      </c>
      <c r="Q53" s="3">
        <v>4</v>
      </c>
      <c r="R53" s="3">
        <v>4</v>
      </c>
      <c r="S53" s="3">
        <v>3</v>
      </c>
      <c r="T53" s="3" t="s">
        <v>43</v>
      </c>
      <c r="U53" s="3" t="s">
        <v>40</v>
      </c>
      <c r="V53" s="3" t="s">
        <v>68</v>
      </c>
      <c r="W53" s="3" t="s">
        <v>68</v>
      </c>
      <c r="X53" s="3" t="s">
        <v>101</v>
      </c>
      <c r="Y53" s="3" t="s">
        <v>43</v>
      </c>
      <c r="Z53" s="3" t="s">
        <v>168</v>
      </c>
      <c r="AA53" s="3" t="s">
        <v>64</v>
      </c>
      <c r="AB53" s="3">
        <v>5</v>
      </c>
      <c r="AC53" s="3">
        <v>0</v>
      </c>
      <c r="AD53" s="3" t="s">
        <v>46</v>
      </c>
    </row>
    <row r="54" spans="1:30" ht="22.5" customHeight="1" x14ac:dyDescent="0.25">
      <c r="A54" s="2">
        <v>46005.789077453708</v>
      </c>
      <c r="B54" s="3">
        <v>24</v>
      </c>
      <c r="C54" s="3" t="s">
        <v>55</v>
      </c>
      <c r="E54" s="3" t="s">
        <v>124</v>
      </c>
      <c r="F54" s="3" t="s">
        <v>79</v>
      </c>
      <c r="G54" s="3" t="s">
        <v>34</v>
      </c>
      <c r="H54" s="3">
        <v>2</v>
      </c>
      <c r="I54" s="3" t="s">
        <v>50</v>
      </c>
      <c r="J54" s="3" t="s">
        <v>36</v>
      </c>
      <c r="K54" s="3" t="s">
        <v>93</v>
      </c>
      <c r="L54" s="3" t="s">
        <v>169</v>
      </c>
      <c r="M54" s="3">
        <v>4</v>
      </c>
      <c r="N54" s="3">
        <v>4</v>
      </c>
      <c r="O54" s="3">
        <v>4</v>
      </c>
      <c r="P54" s="3">
        <v>4</v>
      </c>
      <c r="Q54" s="3">
        <v>4</v>
      </c>
      <c r="R54" s="3">
        <v>4</v>
      </c>
      <c r="S54" s="3">
        <v>3</v>
      </c>
      <c r="T54" s="3" t="s">
        <v>43</v>
      </c>
      <c r="U54" s="3" t="s">
        <v>41</v>
      </c>
      <c r="V54" s="3" t="s">
        <v>41</v>
      </c>
      <c r="W54" s="3" t="s">
        <v>40</v>
      </c>
      <c r="X54" s="3" t="s">
        <v>170</v>
      </c>
      <c r="Y54" s="3" t="s">
        <v>39</v>
      </c>
      <c r="Z54" s="3" t="s">
        <v>171</v>
      </c>
      <c r="AA54" s="3" t="s">
        <v>64</v>
      </c>
      <c r="AB54" s="3">
        <v>4</v>
      </c>
      <c r="AC54" s="3" t="s">
        <v>50</v>
      </c>
      <c r="AD54" s="3" t="s">
        <v>46</v>
      </c>
    </row>
    <row r="55" spans="1:30" ht="22.5" customHeight="1" x14ac:dyDescent="0.25">
      <c r="A55" s="2">
        <v>46005.814155671294</v>
      </c>
      <c r="B55" s="3">
        <v>23</v>
      </c>
      <c r="C55" s="3" t="s">
        <v>55</v>
      </c>
      <c r="E55" s="3" t="s">
        <v>32</v>
      </c>
      <c r="F55" s="3" t="s">
        <v>79</v>
      </c>
      <c r="G55" s="3" t="s">
        <v>49</v>
      </c>
      <c r="H55" s="3">
        <v>2</v>
      </c>
      <c r="I55" s="3">
        <v>0</v>
      </c>
      <c r="J55" s="3" t="s">
        <v>92</v>
      </c>
      <c r="K55" s="3" t="s">
        <v>99</v>
      </c>
      <c r="L55" s="3" t="s">
        <v>172</v>
      </c>
      <c r="M55" s="3">
        <v>3</v>
      </c>
      <c r="N55" s="3">
        <v>3</v>
      </c>
      <c r="O55" s="3">
        <v>2</v>
      </c>
      <c r="P55" s="3">
        <v>3</v>
      </c>
      <c r="Q55" s="3">
        <v>2</v>
      </c>
      <c r="R55" s="3">
        <v>2</v>
      </c>
      <c r="S55" s="3">
        <v>2</v>
      </c>
      <c r="X55" s="3" t="s">
        <v>153</v>
      </c>
      <c r="Y55" s="3" t="s">
        <v>82</v>
      </c>
      <c r="Z55" s="3" t="s">
        <v>173</v>
      </c>
      <c r="AA55" s="3" t="s">
        <v>64</v>
      </c>
      <c r="AB55" s="3">
        <v>2</v>
      </c>
      <c r="AC55" s="3">
        <v>0</v>
      </c>
      <c r="AD55" s="3" t="s">
        <v>46</v>
      </c>
    </row>
    <row r="56" spans="1:30" ht="22.5" customHeight="1" x14ac:dyDescent="0.25">
      <c r="A56" s="2">
        <v>46005.815172673611</v>
      </c>
      <c r="B56" s="3">
        <v>24</v>
      </c>
      <c r="C56" s="3" t="s">
        <v>55</v>
      </c>
      <c r="E56" s="3" t="s">
        <v>47</v>
      </c>
      <c r="F56" s="3" t="s">
        <v>56</v>
      </c>
      <c r="G56" s="3" t="s">
        <v>49</v>
      </c>
      <c r="H56" s="3">
        <v>1</v>
      </c>
      <c r="I56" s="3" t="s">
        <v>50</v>
      </c>
      <c r="J56" s="3" t="s">
        <v>92</v>
      </c>
      <c r="K56" s="3" t="s">
        <v>99</v>
      </c>
      <c r="L56" s="3" t="s">
        <v>174</v>
      </c>
      <c r="M56" s="3">
        <v>2</v>
      </c>
      <c r="N56" s="3">
        <v>2</v>
      </c>
      <c r="O56" s="3">
        <v>4</v>
      </c>
      <c r="P56" s="3">
        <v>2</v>
      </c>
      <c r="Q56" s="3">
        <v>4</v>
      </c>
      <c r="R56" s="3">
        <v>2</v>
      </c>
      <c r="S56" s="3">
        <v>1</v>
      </c>
      <c r="X56" s="3" t="s">
        <v>175</v>
      </c>
      <c r="Y56" s="3" t="s">
        <v>39</v>
      </c>
      <c r="Z56" s="3" t="s">
        <v>147</v>
      </c>
      <c r="AA56" s="3" t="s">
        <v>64</v>
      </c>
      <c r="AB56" s="3">
        <v>3</v>
      </c>
      <c r="AC56" s="3" t="s">
        <v>50</v>
      </c>
      <c r="AD56" s="3" t="s">
        <v>46</v>
      </c>
    </row>
    <row r="57" spans="1:30" ht="22.5" customHeight="1" x14ac:dyDescent="0.25">
      <c r="A57" s="2">
        <v>46005.957193657407</v>
      </c>
      <c r="B57" s="3">
        <v>23</v>
      </c>
      <c r="C57" s="3" t="s">
        <v>55</v>
      </c>
      <c r="E57" s="3" t="s">
        <v>32</v>
      </c>
      <c r="F57" s="3" t="s">
        <v>79</v>
      </c>
      <c r="G57" s="3" t="s">
        <v>49</v>
      </c>
      <c r="H57" s="3">
        <v>1</v>
      </c>
      <c r="I57" s="3" t="s">
        <v>84</v>
      </c>
      <c r="J57" s="3" t="s">
        <v>36</v>
      </c>
      <c r="K57" s="3" t="s">
        <v>140</v>
      </c>
      <c r="L57" s="3" t="s">
        <v>70</v>
      </c>
      <c r="M57" s="3">
        <v>5</v>
      </c>
      <c r="N57" s="3">
        <v>5</v>
      </c>
      <c r="O57" s="3">
        <v>5</v>
      </c>
      <c r="P57" s="3">
        <v>5</v>
      </c>
      <c r="Q57" s="3">
        <v>5</v>
      </c>
      <c r="R57" s="3">
        <v>5</v>
      </c>
      <c r="S57" s="3">
        <v>5</v>
      </c>
      <c r="X57" s="3" t="s">
        <v>120</v>
      </c>
      <c r="Y57" s="3" t="s">
        <v>43</v>
      </c>
      <c r="Z57" s="3" t="s">
        <v>168</v>
      </c>
      <c r="AA57" s="3" t="s">
        <v>64</v>
      </c>
      <c r="AC57" s="3" t="s">
        <v>84</v>
      </c>
      <c r="AD57" s="3" t="s">
        <v>46</v>
      </c>
    </row>
    <row r="58" spans="1:30" ht="22.5" customHeight="1" x14ac:dyDescent="0.25">
      <c r="A58" s="2">
        <v>46006.466757071757</v>
      </c>
      <c r="B58" s="3">
        <v>23</v>
      </c>
      <c r="C58" s="3" t="s">
        <v>55</v>
      </c>
      <c r="E58" s="3" t="s">
        <v>124</v>
      </c>
      <c r="F58" s="3" t="s">
        <v>79</v>
      </c>
      <c r="G58" s="3" t="s">
        <v>49</v>
      </c>
      <c r="H58" s="3" t="s">
        <v>46</v>
      </c>
      <c r="I58" s="3">
        <v>0</v>
      </c>
      <c r="J58" s="3" t="s">
        <v>36</v>
      </c>
      <c r="K58" s="3" t="s">
        <v>37</v>
      </c>
      <c r="L58" s="3" t="s">
        <v>100</v>
      </c>
      <c r="M58" s="3">
        <v>2</v>
      </c>
      <c r="N58" s="3">
        <v>3</v>
      </c>
      <c r="O58" s="3">
        <v>3</v>
      </c>
      <c r="P58" s="3">
        <v>3</v>
      </c>
      <c r="Q58" s="3">
        <v>2</v>
      </c>
      <c r="R58" s="3">
        <v>3</v>
      </c>
      <c r="S58" s="3">
        <v>2</v>
      </c>
      <c r="X58" s="3" t="s">
        <v>62</v>
      </c>
      <c r="Y58" s="3" t="s">
        <v>82</v>
      </c>
      <c r="Z58" s="3" t="s">
        <v>176</v>
      </c>
      <c r="AA58" s="3" t="s">
        <v>64</v>
      </c>
      <c r="AB58" s="3">
        <v>2</v>
      </c>
      <c r="AC58" s="3">
        <v>0</v>
      </c>
      <c r="AD58" s="3" t="s">
        <v>46</v>
      </c>
    </row>
    <row r="59" spans="1:30" ht="22.5" customHeight="1" x14ac:dyDescent="0.25">
      <c r="A59" s="2">
        <v>46007.460933819442</v>
      </c>
      <c r="B59" s="3">
        <v>23</v>
      </c>
      <c r="C59" s="3" t="s">
        <v>55</v>
      </c>
      <c r="E59" s="3" t="s">
        <v>32</v>
      </c>
      <c r="F59" s="3" t="s">
        <v>79</v>
      </c>
      <c r="G59" s="3" t="s">
        <v>34</v>
      </c>
      <c r="H59" s="3">
        <v>2</v>
      </c>
      <c r="I59" s="3">
        <v>0</v>
      </c>
      <c r="J59" s="3" t="s">
        <v>36</v>
      </c>
      <c r="K59" s="3" t="s">
        <v>52</v>
      </c>
      <c r="L59" s="3" t="s">
        <v>96</v>
      </c>
      <c r="M59" s="3">
        <v>4</v>
      </c>
      <c r="N59" s="3">
        <v>3</v>
      </c>
      <c r="O59" s="3">
        <v>3</v>
      </c>
      <c r="P59" s="3">
        <v>2</v>
      </c>
      <c r="Q59" s="3">
        <v>4</v>
      </c>
      <c r="R59" s="3">
        <v>1</v>
      </c>
      <c r="S59" s="3">
        <v>2</v>
      </c>
      <c r="T59" s="3" t="s">
        <v>43</v>
      </c>
      <c r="U59" s="3" t="s">
        <v>41</v>
      </c>
      <c r="V59" s="3" t="s">
        <v>41</v>
      </c>
      <c r="W59" s="3" t="s">
        <v>41</v>
      </c>
      <c r="X59" s="3" t="s">
        <v>177</v>
      </c>
      <c r="Y59" s="3" t="s">
        <v>43</v>
      </c>
      <c r="Z59" s="3" t="s">
        <v>178</v>
      </c>
      <c r="AA59" s="3" t="s">
        <v>45</v>
      </c>
      <c r="AC59" s="3">
        <v>0</v>
      </c>
      <c r="AD59" s="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92C-9530-4BDF-8ABE-DC34500846F4}">
  <sheetPr>
    <outlinePr summaryBelow="0" summaryRight="0"/>
  </sheetPr>
  <dimension ref="A1:BE59"/>
  <sheetViews>
    <sheetView tabSelected="1" topLeftCell="AJ1" workbookViewId="0">
      <pane ySplit="1" topLeftCell="A2" activePane="bottomLeft" state="frozen"/>
      <selection pane="bottomLeft" activeCell="AT3" sqref="AT3"/>
    </sheetView>
  </sheetViews>
  <sheetFormatPr defaultColWidth="12.6328125" defaultRowHeight="15.75" customHeight="1" x14ac:dyDescent="0.25"/>
  <cols>
    <col min="1" max="1" width="4" bestFit="1" customWidth="1"/>
    <col min="2" max="2" width="14.36328125" bestFit="1" customWidth="1"/>
    <col min="3" max="3" width="28.54296875" bestFit="1" customWidth="1"/>
    <col min="4" max="4" width="19.1796875" bestFit="1" customWidth="1"/>
    <col min="5" max="5" width="15.7265625" bestFit="1" customWidth="1"/>
    <col min="6" max="6" width="8.6328125" bestFit="1" customWidth="1"/>
    <col min="7" max="7" width="16.453125" bestFit="1" customWidth="1"/>
    <col min="8" max="8" width="8.7265625" bestFit="1" customWidth="1"/>
    <col min="9" max="9" width="14" customWidth="1"/>
    <col min="10" max="10" width="10.6328125" bestFit="1" customWidth="1"/>
    <col min="11" max="17" width="10.6328125" customWidth="1"/>
    <col min="18" max="18" width="18.7265625" customWidth="1"/>
    <col min="19" max="20" width="7.7265625" bestFit="1" customWidth="1"/>
    <col min="21" max="23" width="7.7265625" customWidth="1"/>
    <col min="24" max="25" width="7.7265625" bestFit="1" customWidth="1"/>
    <col min="26" max="26" width="9.1796875" bestFit="1" customWidth="1"/>
    <col min="27" max="27" width="18.453125" bestFit="1" customWidth="1"/>
    <col min="28" max="28" width="13.81640625" bestFit="1" customWidth="1"/>
    <col min="29" max="29" width="13.7265625" bestFit="1" customWidth="1"/>
    <col min="30" max="30" width="11.6328125" bestFit="1" customWidth="1"/>
    <col min="31" max="31" width="13.54296875" bestFit="1" customWidth="1"/>
    <col min="32" max="32" width="12.36328125" bestFit="1" customWidth="1"/>
    <col min="33" max="33" width="11.6328125" bestFit="1" customWidth="1"/>
    <col min="34" max="34" width="13.54296875" bestFit="1" customWidth="1"/>
    <col min="35" max="35" width="12.36328125" bestFit="1" customWidth="1"/>
    <col min="36" max="36" width="14.90625" customWidth="1"/>
    <col min="37" max="37" width="11.08984375" bestFit="1" customWidth="1"/>
    <col min="38" max="38" width="10.1796875" customWidth="1"/>
    <col min="39" max="39" width="10" bestFit="1" customWidth="1"/>
    <col min="40" max="40" width="10.6328125" bestFit="1" customWidth="1"/>
    <col min="41" max="41" width="16.1796875" customWidth="1"/>
    <col min="42" max="42" width="14.7265625" bestFit="1" customWidth="1"/>
    <col min="43" max="43" width="12.1796875" bestFit="1" customWidth="1"/>
    <col min="44" max="44" width="11.54296875" bestFit="1" customWidth="1"/>
    <col min="45" max="45" width="11.26953125" bestFit="1" customWidth="1"/>
    <col min="46" max="46" width="9.08984375" bestFit="1" customWidth="1"/>
    <col min="47" max="47" width="18.90625" customWidth="1"/>
    <col min="48" max="48" width="12.08984375" customWidth="1"/>
    <col min="49" max="49" width="9.81640625" customWidth="1"/>
    <col min="50" max="50" width="13.26953125" customWidth="1"/>
    <col min="51" max="51" width="17.90625" customWidth="1"/>
    <col min="52" max="52" width="18.90625" customWidth="1"/>
    <col min="53" max="53" width="10.26953125" customWidth="1"/>
    <col min="54" max="54" width="11" customWidth="1"/>
    <col min="55" max="55" width="18.90625" customWidth="1"/>
    <col min="56" max="56" width="12.90625" customWidth="1"/>
    <col min="57" max="57" width="7.453125" customWidth="1"/>
  </cols>
  <sheetData>
    <row r="1" spans="1:57" ht="22.5" customHeight="1" x14ac:dyDescent="0.25">
      <c r="A1" s="1" t="s">
        <v>201</v>
      </c>
      <c r="B1" s="1" t="s">
        <v>202</v>
      </c>
      <c r="C1" s="1" t="s">
        <v>180</v>
      </c>
      <c r="D1" s="1" t="s">
        <v>181</v>
      </c>
      <c r="E1" s="1" t="s">
        <v>182</v>
      </c>
      <c r="F1" s="1" t="s">
        <v>179</v>
      </c>
      <c r="G1" s="1" t="s">
        <v>186</v>
      </c>
      <c r="H1" s="1" t="s">
        <v>199</v>
      </c>
      <c r="I1" s="1" t="s">
        <v>200</v>
      </c>
      <c r="J1" s="1" t="s">
        <v>187</v>
      </c>
      <c r="K1" s="6" t="s">
        <v>217</v>
      </c>
      <c r="L1" s="6" t="s">
        <v>218</v>
      </c>
      <c r="M1" s="6" t="s">
        <v>219</v>
      </c>
      <c r="N1" s="6" t="s">
        <v>220</v>
      </c>
      <c r="O1" s="6" t="s">
        <v>221</v>
      </c>
      <c r="P1" s="6" t="s">
        <v>222</v>
      </c>
      <c r="Q1" s="6" t="s">
        <v>231</v>
      </c>
      <c r="R1" s="1" t="s">
        <v>188</v>
      </c>
      <c r="S1" s="7" t="s">
        <v>223</v>
      </c>
      <c r="T1" s="7" t="s">
        <v>224</v>
      </c>
      <c r="U1" s="7" t="s">
        <v>225</v>
      </c>
      <c r="V1" s="7" t="s">
        <v>226</v>
      </c>
      <c r="W1" s="7" t="s">
        <v>227</v>
      </c>
      <c r="X1" s="7" t="s">
        <v>228</v>
      </c>
      <c r="Y1" s="7" t="s">
        <v>229</v>
      </c>
      <c r="Z1" s="7" t="s">
        <v>230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  <c r="AH1" s="1" t="s">
        <v>196</v>
      </c>
      <c r="AI1" s="1" t="s">
        <v>197</v>
      </c>
      <c r="AJ1" s="1" t="s">
        <v>184</v>
      </c>
      <c r="AK1" s="1" t="s">
        <v>183</v>
      </c>
      <c r="AL1" s="1" t="s">
        <v>185</v>
      </c>
      <c r="AM1" s="4" t="s">
        <v>203</v>
      </c>
      <c r="AN1" s="4" t="s">
        <v>204</v>
      </c>
      <c r="AO1" s="4" t="s">
        <v>205</v>
      </c>
      <c r="AP1" s="4" t="s">
        <v>206</v>
      </c>
      <c r="AQ1" s="4" t="s">
        <v>207</v>
      </c>
      <c r="AR1" s="4" t="s">
        <v>208</v>
      </c>
      <c r="AS1" s="4" t="s">
        <v>209</v>
      </c>
      <c r="AT1" s="4" t="s">
        <v>210</v>
      </c>
      <c r="AU1" s="1" t="s">
        <v>23</v>
      </c>
      <c r="AV1" s="1" t="s">
        <v>198</v>
      </c>
      <c r="AW1" s="5" t="s">
        <v>212</v>
      </c>
      <c r="AX1" s="5" t="s">
        <v>211</v>
      </c>
      <c r="AY1" s="5" t="s">
        <v>214</v>
      </c>
      <c r="AZ1" s="5" t="s">
        <v>213</v>
      </c>
      <c r="BA1" s="5" t="s">
        <v>215</v>
      </c>
      <c r="BB1" s="5" t="s">
        <v>216</v>
      </c>
      <c r="BC1" s="1" t="s">
        <v>25</v>
      </c>
      <c r="BD1" s="1" t="s">
        <v>233</v>
      </c>
      <c r="BE1" s="1" t="s">
        <v>27</v>
      </c>
    </row>
    <row r="2" spans="1:57" ht="22.5" customHeight="1" x14ac:dyDescent="0.25">
      <c r="A2" s="3">
        <v>22</v>
      </c>
      <c r="B2" s="3" t="s">
        <v>31</v>
      </c>
      <c r="C2" s="3" t="s">
        <v>32</v>
      </c>
      <c r="D2" s="3" t="s">
        <v>33</v>
      </c>
      <c r="E2" s="3" t="s">
        <v>34</v>
      </c>
      <c r="F2" s="3">
        <v>1</v>
      </c>
      <c r="G2" s="3" t="s">
        <v>35</v>
      </c>
      <c r="H2" s="3">
        <v>0</v>
      </c>
      <c r="I2" s="3">
        <v>0</v>
      </c>
      <c r="J2" s="3" t="s">
        <v>36</v>
      </c>
      <c r="K2" s="3">
        <f t="shared" ref="K2:K33" si="0">IF(ISNUMBER(SEARCH("To make friends",$R2)),1,0)</f>
        <v>0</v>
      </c>
      <c r="L2" s="3">
        <f t="shared" ref="L2:L33" si="1">IF(ISNUMBER(SEARCH("To learn new skills",$R2)),1,0)</f>
        <v>0</v>
      </c>
      <c r="M2" s="3">
        <f>IF(ISNUMBER(SEARCH("For fun",$R2)),1,0)</f>
        <v>1</v>
      </c>
      <c r="N2" s="3">
        <f t="shared" ref="N2:N33" si="2">IF(ISNUMBER(SEARCH("To improve my CV",$R2)),1,0)</f>
        <v>0</v>
      </c>
      <c r="O2" s="3">
        <f t="shared" ref="O2:O33" si="3">IF(ISNUMBER(SEARCH("My friends influence me",$R2)),1,0)</f>
        <v>1</v>
      </c>
      <c r="P2" s="3">
        <f ca="1">IF($R2="","",IF(SUM(Form_Responses3[[#This Row],[moti_makefriends]:[moti_friendsinfluence]])=0,1,IF(COUNTA(textsplit(R2,","))&gt;SUM(Form_Responses3[[#This Row],[moti_makefriends]:[moti_friendsinfluence]]),1,0)))</f>
        <v>0</v>
      </c>
      <c r="Q2" s="3"/>
      <c r="R2" s="3" t="s">
        <v>37</v>
      </c>
      <c r="S2" s="3">
        <f>IF(ISNUMBER(SEARCH("Not enough time",$AA2)),1,0)</f>
        <v>0</v>
      </c>
      <c r="T2" s="3">
        <f t="shared" ref="T2:T33" si="4">IF(ISNUMBER(SEARCH("Academic workload",$AA2)),1,0)</f>
        <v>1</v>
      </c>
      <c r="U2" s="3">
        <f t="shared" ref="U2:U33" si="5">IF(ISNUMBER(SEARCH("Money issues",$AA2)),1,0)</f>
        <v>0</v>
      </c>
      <c r="V2" s="3">
        <f t="shared" ref="V2:V33" si="6">IF(ISNUMBER(SEARCH("Not interested",$AA2)),1,0)</f>
        <v>1</v>
      </c>
      <c r="W2" s="3">
        <f t="shared" ref="W2:W33" si="7">IF(ISNUMBER(SEARCH("Didn’t know about them",$AA2)),1,0)</f>
        <v>0</v>
      </c>
      <c r="X2" s="3">
        <f t="shared" ref="X2:X33" si="8">IF(ISNUMBER(SEARCH("Feeling shy",$AA2)),1,0)</f>
        <v>0</v>
      </c>
      <c r="Y2" s="3">
        <f t="shared" ref="Y2:Y33" si="9">IF(ISNUMBER(SEARCH("Family restrictions",$AA2)),1,0)</f>
        <v>0</v>
      </c>
      <c r="Z2" s="3">
        <f t="shared" ref="S2:Z33" si="10">IF(ISNUMBER(SEARCH("Not enough time",$AA2)),1,0)</f>
        <v>0</v>
      </c>
      <c r="AA2" s="3" t="s">
        <v>38</v>
      </c>
      <c r="AB2" s="3">
        <v>5</v>
      </c>
      <c r="AC2" s="3">
        <v>5</v>
      </c>
      <c r="AD2" s="3">
        <v>3</v>
      </c>
      <c r="AE2" s="3">
        <v>5</v>
      </c>
      <c r="AF2" s="3">
        <v>5</v>
      </c>
      <c r="AG2" s="3">
        <v>5</v>
      </c>
      <c r="AH2" s="3">
        <v>3</v>
      </c>
      <c r="AI2" s="3" t="s">
        <v>39</v>
      </c>
      <c r="AJ2" s="3" t="s">
        <v>40</v>
      </c>
      <c r="AK2" s="3" t="s">
        <v>40</v>
      </c>
      <c r="AL2" s="3" t="s">
        <v>41</v>
      </c>
      <c r="AM2" s="3">
        <f t="shared" ref="AM2:AT33" si="11">IF(ISNUMBER(SEARCH("Sports events",$AU2)),1,0)</f>
        <v>0</v>
      </c>
      <c r="AN2" s="3">
        <f t="shared" ref="AN2:AN33" si="12">IF(ISNUMBER(SEARCH("Cultural events",$AU2)),1,0)</f>
        <v>0</v>
      </c>
      <c r="AO2" s="3">
        <f t="shared" ref="AO2:AO33" si="13">IF(ISNUMBER(SEARCH("Academic clubs",$AU2)),1,0)</f>
        <v>0</v>
      </c>
      <c r="AP2" s="3">
        <f t="shared" ref="AP2:AP33" si="14">IF(ISNUMBER(SEARCH("Music/drama",$AU2)),1,0)</f>
        <v>0</v>
      </c>
      <c r="AQ2" s="3">
        <f t="shared" ref="AQ2:AQ33" si="15">IF(ISNUMBER(SEARCH("Volunteer/community service",$AU2)),1,0)</f>
        <v>1</v>
      </c>
      <c r="AR2" s="3">
        <f t="shared" ref="AR2:AR33" si="16">IF(ISNUMBER(SEARCH("Religious/cultural societies",$AU2)),1,0)</f>
        <v>0</v>
      </c>
      <c r="AS2" s="3">
        <f t="shared" ref="AS2:AS33" si="17">IF(ISNUMBER(SEARCH("Informal gatherings with friends",$AU2)),1,0)</f>
        <v>1</v>
      </c>
      <c r="AT2" s="3">
        <f t="shared" si="11"/>
        <v>0</v>
      </c>
      <c r="AU2" s="3" t="s">
        <v>42</v>
      </c>
      <c r="AV2" s="3" t="s">
        <v>43</v>
      </c>
      <c r="AW2" s="3" t="s">
        <v>232</v>
      </c>
      <c r="AX2" s="3" t="s">
        <v>232</v>
      </c>
      <c r="AY2" s="3" t="s">
        <v>232</v>
      </c>
      <c r="AZ2" s="3" t="s">
        <v>232</v>
      </c>
      <c r="BA2" s="3" t="s">
        <v>232</v>
      </c>
      <c r="BB2" s="3" t="s">
        <v>232</v>
      </c>
      <c r="BC2" s="3" t="s">
        <v>44</v>
      </c>
      <c r="BD2" s="3" t="s">
        <v>45</v>
      </c>
      <c r="BE2" s="3">
        <v>3</v>
      </c>
    </row>
    <row r="3" spans="1:57" ht="22.5" customHeight="1" x14ac:dyDescent="0.25">
      <c r="A3" s="3">
        <v>21</v>
      </c>
      <c r="B3" s="3" t="s">
        <v>31</v>
      </c>
      <c r="C3" s="3" t="s">
        <v>47</v>
      </c>
      <c r="D3" s="3" t="s">
        <v>48</v>
      </c>
      <c r="E3" s="3" t="s">
        <v>49</v>
      </c>
      <c r="F3" s="3">
        <v>1</v>
      </c>
      <c r="G3" s="3" t="s">
        <v>50</v>
      </c>
      <c r="H3" s="3">
        <v>1</v>
      </c>
      <c r="I3" s="3" t="s">
        <v>50</v>
      </c>
      <c r="J3" s="3" t="s">
        <v>51</v>
      </c>
      <c r="K3" s="3">
        <f t="shared" si="0"/>
        <v>1</v>
      </c>
      <c r="L3" s="3">
        <f t="shared" si="1"/>
        <v>1</v>
      </c>
      <c r="M3" s="3">
        <f t="shared" ref="M3:M33" si="18">IF(ISNUMBER(SEARCH("For fun",$R3)),1,0)</f>
        <v>1</v>
      </c>
      <c r="N3" s="3">
        <f t="shared" si="2"/>
        <v>1</v>
      </c>
      <c r="O3" s="3">
        <f t="shared" si="3"/>
        <v>1</v>
      </c>
      <c r="P3" s="3">
        <f ca="1">IF($R3="","",IF(SUM(Form_Responses3[[#This Row],[moti_makefriends]:[moti_friendsinfluence]])=0,1,IF(COUNTA(textsplit(R3,","))&gt;SUM(Form_Responses3[[#This Row],[moti_makefriends]:[moti_friendsinfluence]]),1,0)))</f>
        <v>0</v>
      </c>
      <c r="Q3" s="3"/>
      <c r="R3" s="3" t="s">
        <v>52</v>
      </c>
      <c r="S3" s="3">
        <f t="shared" si="10"/>
        <v>1</v>
      </c>
      <c r="T3" s="3">
        <f t="shared" si="4"/>
        <v>1</v>
      </c>
      <c r="U3" s="3">
        <f>IF(ISNUMBER(SEARCH("Money issues",$AA3)),1,0)</f>
        <v>1</v>
      </c>
      <c r="V3" s="3">
        <f>IF(ISNUMBER(SEARCH("Not interested",$AA3)),1,0)</f>
        <v>0</v>
      </c>
      <c r="W3" s="3">
        <f t="shared" si="7"/>
        <v>0</v>
      </c>
      <c r="X3" s="3">
        <f t="shared" si="8"/>
        <v>0</v>
      </c>
      <c r="Y3" s="3">
        <f t="shared" si="9"/>
        <v>0</v>
      </c>
      <c r="Z3" s="3"/>
      <c r="AA3" s="3" t="s">
        <v>53</v>
      </c>
      <c r="AB3" s="3">
        <v>3</v>
      </c>
      <c r="AC3" s="3">
        <v>4</v>
      </c>
      <c r="AD3" s="3">
        <v>4</v>
      </c>
      <c r="AE3" s="3">
        <v>4</v>
      </c>
      <c r="AF3" s="3">
        <v>4</v>
      </c>
      <c r="AG3" s="3">
        <v>4</v>
      </c>
      <c r="AH3" s="3">
        <v>3</v>
      </c>
      <c r="AI3" t="s">
        <v>232</v>
      </c>
      <c r="AJ3" t="s">
        <v>232</v>
      </c>
      <c r="AK3" t="s">
        <v>232</v>
      </c>
      <c r="AL3" t="s">
        <v>232</v>
      </c>
      <c r="AM3">
        <f t="shared" si="11"/>
        <v>1</v>
      </c>
      <c r="AN3">
        <f t="shared" si="12"/>
        <v>1</v>
      </c>
      <c r="AO3">
        <f t="shared" si="13"/>
        <v>1</v>
      </c>
      <c r="AP3">
        <f t="shared" si="14"/>
        <v>1</v>
      </c>
      <c r="AQ3">
        <f t="shared" si="15"/>
        <v>0</v>
      </c>
      <c r="AR3">
        <f t="shared" si="16"/>
        <v>1</v>
      </c>
      <c r="AS3">
        <f>IF(ISNUMBER(SEARCH("Informal gatherings with friends",$AU3)),1,0)</f>
        <v>1</v>
      </c>
      <c r="AU3" s="3" t="s">
        <v>54</v>
      </c>
      <c r="AV3" s="3" t="s">
        <v>43</v>
      </c>
      <c r="AW3" s="3" t="s">
        <v>232</v>
      </c>
      <c r="AX3" s="3" t="s">
        <v>232</v>
      </c>
      <c r="AY3" s="3" t="s">
        <v>232</v>
      </c>
      <c r="AZ3" s="3" t="s">
        <v>232</v>
      </c>
      <c r="BA3" s="3" t="s">
        <v>232</v>
      </c>
      <c r="BB3" s="3" t="s">
        <v>232</v>
      </c>
      <c r="BD3" s="3" t="s">
        <v>45</v>
      </c>
      <c r="BE3" s="3">
        <v>3</v>
      </c>
    </row>
    <row r="4" spans="1:57" ht="22.5" customHeight="1" x14ac:dyDescent="0.25">
      <c r="A4" s="3">
        <v>22</v>
      </c>
      <c r="B4" s="3" t="s">
        <v>55</v>
      </c>
      <c r="C4" s="3" t="s">
        <v>32</v>
      </c>
      <c r="D4" s="3" t="s">
        <v>56</v>
      </c>
      <c r="E4" s="3" t="s">
        <v>34</v>
      </c>
      <c r="F4" s="3" t="s">
        <v>57</v>
      </c>
      <c r="G4" s="3" t="s">
        <v>58</v>
      </c>
      <c r="H4" s="3">
        <v>0</v>
      </c>
      <c r="I4" s="3" t="s">
        <v>58</v>
      </c>
      <c r="J4" s="3" t="s">
        <v>36</v>
      </c>
      <c r="K4" s="3">
        <f t="shared" si="0"/>
        <v>1</v>
      </c>
      <c r="L4" s="3">
        <f t="shared" si="1"/>
        <v>1</v>
      </c>
      <c r="M4" s="3">
        <f t="shared" si="18"/>
        <v>1</v>
      </c>
      <c r="N4" s="3">
        <f t="shared" si="2"/>
        <v>0</v>
      </c>
      <c r="O4" s="3">
        <f t="shared" si="3"/>
        <v>0</v>
      </c>
      <c r="P4" s="3">
        <f ca="1">IF($R4="","",IF(SUM(Form_Responses3[[#This Row],[moti_makefriends]:[moti_friendsinfluence]])=0,1,IF(COUNTA(textsplit(R4,","))&gt;SUM(Form_Responses3[[#This Row],[moti_makefriends]:[moti_friendsinfluence]]),1,0)))</f>
        <v>0</v>
      </c>
      <c r="Q4" s="3"/>
      <c r="R4" s="3" t="s">
        <v>59</v>
      </c>
      <c r="S4" s="3">
        <f t="shared" si="10"/>
        <v>1</v>
      </c>
      <c r="T4" s="3">
        <f t="shared" si="4"/>
        <v>1</v>
      </c>
      <c r="U4" s="3">
        <f t="shared" si="5"/>
        <v>0</v>
      </c>
      <c r="V4" s="3">
        <f t="shared" si="6"/>
        <v>0</v>
      </c>
      <c r="W4" s="3">
        <f t="shared" si="7"/>
        <v>1</v>
      </c>
      <c r="X4" s="3">
        <f t="shared" si="8"/>
        <v>0</v>
      </c>
      <c r="Y4" s="3">
        <f t="shared" si="9"/>
        <v>0</v>
      </c>
      <c r="Z4" s="3"/>
      <c r="AA4" s="3" t="s">
        <v>60</v>
      </c>
      <c r="AB4" s="3">
        <v>3</v>
      </c>
      <c r="AC4" s="3">
        <v>4</v>
      </c>
      <c r="AD4" s="3">
        <v>4</v>
      </c>
      <c r="AE4" s="3">
        <v>3</v>
      </c>
      <c r="AF4" s="3">
        <v>4</v>
      </c>
      <c r="AG4" s="3">
        <v>3</v>
      </c>
      <c r="AH4" s="3">
        <v>3</v>
      </c>
      <c r="AI4" s="3" t="s">
        <v>43</v>
      </c>
      <c r="AJ4" s="3" t="s">
        <v>61</v>
      </c>
      <c r="AK4" s="3" t="s">
        <v>41</v>
      </c>
      <c r="AL4" s="3" t="s">
        <v>41</v>
      </c>
      <c r="AM4" s="3">
        <f t="shared" si="11"/>
        <v>0</v>
      </c>
      <c r="AN4" s="3">
        <f t="shared" si="12"/>
        <v>1</v>
      </c>
      <c r="AO4" s="3">
        <f t="shared" si="13"/>
        <v>0</v>
      </c>
      <c r="AP4" s="3">
        <f t="shared" si="14"/>
        <v>1</v>
      </c>
      <c r="AQ4" s="3">
        <f t="shared" si="15"/>
        <v>0</v>
      </c>
      <c r="AR4" s="3">
        <f t="shared" si="16"/>
        <v>0</v>
      </c>
      <c r="AS4" s="3">
        <f t="shared" si="17"/>
        <v>1</v>
      </c>
      <c r="AT4" s="3"/>
      <c r="AU4" s="3" t="s">
        <v>62</v>
      </c>
      <c r="AV4" s="3" t="s">
        <v>39</v>
      </c>
      <c r="AW4" s="3">
        <f t="shared" ref="AW2:AW34" si="19">IF(ISNUMBER(SEARCH("More events",$BC4)),1,0)</f>
        <v>1</v>
      </c>
      <c r="AX4" s="3">
        <f t="shared" ref="AX2:AX34" si="20">IF(ISNUMBER(SEARCH("Better communication / advertising",$BC4)),1,0)</f>
        <v>1</v>
      </c>
      <c r="AY4" s="3">
        <f t="shared" ref="AY2:AY34" si="21">IF(ISNUMBER(SEARCH("More variety of activities",$BC4)),1,0)</f>
        <v>1</v>
      </c>
      <c r="AZ4" s="3">
        <f t="shared" ref="AZ2:AZ34" si="22">IF(ISNUMBER(SEARCH("More student-led initiatives",$BC4)),1,0)</f>
        <v>0</v>
      </c>
      <c r="BA4" s="3">
        <f t="shared" ref="BA2:BA34" si="23">IF(ISNUMBER(SEARCH("Better funding for societies",$BC4)),1,0)</f>
        <v>0</v>
      </c>
      <c r="BB4" s="3">
        <f t="shared" ref="BB2:BB34" si="24">IF(ISNUMBER(SEARCH("Improved facilities",$BC4)),1,0)</f>
        <v>0</v>
      </c>
      <c r="BC4" s="3" t="s">
        <v>63</v>
      </c>
      <c r="BD4" s="3" t="s">
        <v>64</v>
      </c>
    </row>
    <row r="5" spans="1:57" ht="22.5" customHeight="1" x14ac:dyDescent="0.25">
      <c r="A5" s="3">
        <v>21</v>
      </c>
      <c r="B5" s="3" t="s">
        <v>31</v>
      </c>
      <c r="C5" s="3" t="s">
        <v>47</v>
      </c>
      <c r="D5" s="3" t="s">
        <v>56</v>
      </c>
      <c r="E5" s="3" t="s">
        <v>34</v>
      </c>
      <c r="F5" s="3">
        <v>1</v>
      </c>
      <c r="G5" s="3" t="s">
        <v>50</v>
      </c>
      <c r="H5" s="3">
        <v>1</v>
      </c>
      <c r="I5" s="3" t="s">
        <v>58</v>
      </c>
      <c r="J5" s="3" t="s">
        <v>51</v>
      </c>
      <c r="K5" s="3">
        <f t="shared" si="0"/>
        <v>1</v>
      </c>
      <c r="L5" s="3">
        <f t="shared" si="1"/>
        <v>1</v>
      </c>
      <c r="M5" s="3">
        <f t="shared" si="18"/>
        <v>0</v>
      </c>
      <c r="N5" s="3">
        <f t="shared" si="2"/>
        <v>0</v>
      </c>
      <c r="O5" s="3">
        <f t="shared" si="3"/>
        <v>0</v>
      </c>
      <c r="P5" s="3">
        <f ca="1">IF($R5="","",IF(SUM(Form_Responses3[[#This Row],[moti_makefriends]:[moti_friendsinfluence]])=0,1,IF(COUNTA(textsplit(R5,","))&gt;SUM(Form_Responses3[[#This Row],[moti_makefriends]:[moti_friendsinfluence]]),1,0)))</f>
        <v>0</v>
      </c>
      <c r="Q5" s="3"/>
      <c r="R5" s="3" t="s">
        <v>65</v>
      </c>
      <c r="S5" s="3">
        <f t="shared" si="10"/>
        <v>0</v>
      </c>
      <c r="T5" s="3">
        <f t="shared" si="4"/>
        <v>1</v>
      </c>
      <c r="U5" s="3">
        <f t="shared" si="5"/>
        <v>0</v>
      </c>
      <c r="V5" s="3">
        <f t="shared" si="6"/>
        <v>0</v>
      </c>
      <c r="W5" s="3">
        <f t="shared" si="7"/>
        <v>0</v>
      </c>
      <c r="X5" s="3">
        <f t="shared" si="8"/>
        <v>0</v>
      </c>
      <c r="Y5" s="3">
        <f t="shared" si="9"/>
        <v>0</v>
      </c>
      <c r="Z5" s="3"/>
      <c r="AA5" s="3" t="s">
        <v>66</v>
      </c>
      <c r="AB5" s="3">
        <v>3</v>
      </c>
      <c r="AC5" s="3">
        <v>5</v>
      </c>
      <c r="AD5" s="3">
        <v>5</v>
      </c>
      <c r="AE5" s="3">
        <v>5</v>
      </c>
      <c r="AF5" s="3">
        <v>5</v>
      </c>
      <c r="AG5" s="3">
        <v>5</v>
      </c>
      <c r="AH5" s="3">
        <v>5</v>
      </c>
      <c r="AI5" s="3" t="s">
        <v>43</v>
      </c>
      <c r="AJ5" s="3" t="s">
        <v>67</v>
      </c>
      <c r="AK5" s="3" t="s">
        <v>68</v>
      </c>
      <c r="AL5" s="3" t="s">
        <v>41</v>
      </c>
      <c r="AM5" s="3">
        <f t="shared" si="11"/>
        <v>1</v>
      </c>
      <c r="AN5" s="3">
        <f t="shared" si="12"/>
        <v>0</v>
      </c>
      <c r="AO5" s="3">
        <f t="shared" si="13"/>
        <v>1</v>
      </c>
      <c r="AP5" s="3">
        <f t="shared" si="14"/>
        <v>1</v>
      </c>
      <c r="AQ5" s="3">
        <f t="shared" si="15"/>
        <v>0</v>
      </c>
      <c r="AR5" s="3">
        <f t="shared" si="16"/>
        <v>0</v>
      </c>
      <c r="AS5" s="3">
        <f t="shared" si="17"/>
        <v>0</v>
      </c>
      <c r="AT5" s="3"/>
      <c r="AU5" s="3" t="s">
        <v>69</v>
      </c>
      <c r="AV5" s="3" t="s">
        <v>43</v>
      </c>
      <c r="AW5" s="3" t="s">
        <v>232</v>
      </c>
      <c r="AX5" s="3" t="s">
        <v>232</v>
      </c>
      <c r="AY5" s="3" t="s">
        <v>232</v>
      </c>
      <c r="AZ5" s="3" t="s">
        <v>232</v>
      </c>
      <c r="BA5" s="3" t="s">
        <v>232</v>
      </c>
      <c r="BB5" s="3" t="s">
        <v>232</v>
      </c>
      <c r="BD5" s="3" t="s">
        <v>64</v>
      </c>
      <c r="BE5" s="3">
        <v>4</v>
      </c>
    </row>
    <row r="6" spans="1:57" ht="22.5" customHeight="1" x14ac:dyDescent="0.25">
      <c r="A6" s="3">
        <v>24</v>
      </c>
      <c r="B6" s="3" t="s">
        <v>31</v>
      </c>
      <c r="C6" s="3" t="s">
        <v>47</v>
      </c>
      <c r="D6" s="3" t="s">
        <v>48</v>
      </c>
      <c r="E6" s="3" t="s">
        <v>49</v>
      </c>
      <c r="F6" s="3">
        <v>2</v>
      </c>
      <c r="G6" s="3" t="s">
        <v>50</v>
      </c>
      <c r="H6" s="3">
        <v>0</v>
      </c>
      <c r="I6" s="3">
        <v>0</v>
      </c>
      <c r="J6" s="3" t="s">
        <v>36</v>
      </c>
      <c r="K6" s="3">
        <f t="shared" si="0"/>
        <v>1</v>
      </c>
      <c r="L6" s="3">
        <f t="shared" si="1"/>
        <v>1</v>
      </c>
      <c r="M6" s="3">
        <f t="shared" si="18"/>
        <v>0</v>
      </c>
      <c r="N6" s="3">
        <f t="shared" si="2"/>
        <v>0</v>
      </c>
      <c r="O6" s="3">
        <f t="shared" si="3"/>
        <v>0</v>
      </c>
      <c r="P6" s="3">
        <f ca="1">IF($R6="","",IF(SUM(Form_Responses3[[#This Row],[moti_makefriends]:[moti_friendsinfluence]])=0,1,IF(COUNTA(textsplit(R6,","))&gt;SUM(Form_Responses3[[#This Row],[moti_makefriends]:[moti_friendsinfluence]]),1,0)))</f>
        <v>0</v>
      </c>
      <c r="Q6" s="3"/>
      <c r="R6" s="3" t="s">
        <v>65</v>
      </c>
      <c r="S6" s="3">
        <f t="shared" si="10"/>
        <v>1</v>
      </c>
      <c r="T6" s="3">
        <f t="shared" si="4"/>
        <v>1</v>
      </c>
      <c r="U6" s="3">
        <f t="shared" si="5"/>
        <v>0</v>
      </c>
      <c r="V6" s="3">
        <f t="shared" si="6"/>
        <v>0</v>
      </c>
      <c r="W6" s="3">
        <f t="shared" si="7"/>
        <v>0</v>
      </c>
      <c r="X6" s="3">
        <f t="shared" si="8"/>
        <v>0</v>
      </c>
      <c r="Y6" s="3">
        <f t="shared" si="9"/>
        <v>0</v>
      </c>
      <c r="Z6" s="3"/>
      <c r="AA6" s="3" t="s">
        <v>70</v>
      </c>
      <c r="AB6" s="3">
        <v>5</v>
      </c>
      <c r="AC6" s="3">
        <v>4</v>
      </c>
      <c r="AD6" s="3">
        <v>3</v>
      </c>
      <c r="AE6" s="3">
        <v>4</v>
      </c>
      <c r="AF6" s="3">
        <v>5</v>
      </c>
      <c r="AG6" s="3">
        <v>5</v>
      </c>
      <c r="AH6" s="3">
        <v>5</v>
      </c>
      <c r="AI6" t="s">
        <v>232</v>
      </c>
      <c r="AJ6" t="s">
        <v>232</v>
      </c>
      <c r="AK6" t="s">
        <v>232</v>
      </c>
      <c r="AL6" t="s">
        <v>232</v>
      </c>
      <c r="AM6">
        <f t="shared" si="11"/>
        <v>0</v>
      </c>
      <c r="AN6">
        <f t="shared" si="12"/>
        <v>0</v>
      </c>
      <c r="AO6">
        <f t="shared" si="13"/>
        <v>1</v>
      </c>
      <c r="AP6">
        <f t="shared" si="14"/>
        <v>0</v>
      </c>
      <c r="AQ6">
        <f t="shared" si="15"/>
        <v>1</v>
      </c>
      <c r="AR6">
        <f t="shared" si="16"/>
        <v>0</v>
      </c>
      <c r="AS6">
        <f t="shared" si="17"/>
        <v>1</v>
      </c>
      <c r="AU6" s="3" t="s">
        <v>71</v>
      </c>
      <c r="AV6" s="3" t="s">
        <v>39</v>
      </c>
      <c r="AW6" s="3">
        <f t="shared" si="19"/>
        <v>0</v>
      </c>
      <c r="AX6" s="3">
        <f t="shared" si="20"/>
        <v>0</v>
      </c>
      <c r="AY6" s="3">
        <f t="shared" si="21"/>
        <v>0</v>
      </c>
      <c r="AZ6" s="3">
        <f t="shared" si="22"/>
        <v>0</v>
      </c>
      <c r="BA6" s="3">
        <f t="shared" si="23"/>
        <v>0</v>
      </c>
      <c r="BB6" s="3">
        <f t="shared" si="24"/>
        <v>0</v>
      </c>
      <c r="BD6" s="3" t="s">
        <v>64</v>
      </c>
    </row>
    <row r="7" spans="1:57" ht="22.5" customHeight="1" x14ac:dyDescent="0.25">
      <c r="A7" s="3">
        <v>22</v>
      </c>
      <c r="B7" s="3" t="s">
        <v>55</v>
      </c>
      <c r="C7" s="3" t="s">
        <v>32</v>
      </c>
      <c r="D7" s="3" t="s">
        <v>56</v>
      </c>
      <c r="E7" s="3" t="s">
        <v>49</v>
      </c>
      <c r="F7" s="3">
        <v>2</v>
      </c>
      <c r="G7" s="3" t="s">
        <v>58</v>
      </c>
      <c r="H7" s="3">
        <v>0</v>
      </c>
      <c r="I7" s="3" t="s">
        <v>35</v>
      </c>
      <c r="J7" s="3" t="s">
        <v>51</v>
      </c>
      <c r="K7" s="3">
        <f t="shared" si="0"/>
        <v>1</v>
      </c>
      <c r="L7" s="3">
        <f t="shared" si="1"/>
        <v>1</v>
      </c>
      <c r="M7" s="3">
        <f t="shared" si="18"/>
        <v>1</v>
      </c>
      <c r="N7" s="3">
        <f t="shared" si="2"/>
        <v>1</v>
      </c>
      <c r="O7" s="3">
        <f t="shared" si="3"/>
        <v>1</v>
      </c>
      <c r="P7" s="3">
        <f ca="1">IF($R7="","",IF(SUM(Form_Responses3[[#This Row],[moti_makefriends]:[moti_friendsinfluence]])=0,1,IF(COUNTA(textsplit(R7,","))&gt;SUM(Form_Responses3[[#This Row],[moti_makefriends]:[moti_friendsinfluence]]),1,0)))</f>
        <v>0</v>
      </c>
      <c r="Q7" s="3"/>
      <c r="R7" s="3" t="s">
        <v>52</v>
      </c>
      <c r="S7" s="3">
        <f t="shared" si="10"/>
        <v>1</v>
      </c>
      <c r="T7" s="3">
        <f t="shared" si="4"/>
        <v>1</v>
      </c>
      <c r="U7" s="3">
        <f t="shared" si="5"/>
        <v>0</v>
      </c>
      <c r="V7" s="3">
        <f t="shared" si="6"/>
        <v>0</v>
      </c>
      <c r="W7" s="3">
        <f t="shared" si="7"/>
        <v>0</v>
      </c>
      <c r="X7" s="3">
        <f t="shared" si="8"/>
        <v>0</v>
      </c>
      <c r="Y7" s="3">
        <f t="shared" si="9"/>
        <v>1</v>
      </c>
      <c r="Z7" s="3"/>
      <c r="AA7" s="3" t="s">
        <v>72</v>
      </c>
      <c r="AB7" s="3">
        <v>3</v>
      </c>
      <c r="AC7" s="3">
        <v>2</v>
      </c>
      <c r="AD7" s="3">
        <v>4</v>
      </c>
      <c r="AE7" s="3">
        <v>3</v>
      </c>
      <c r="AF7" s="3">
        <v>3</v>
      </c>
      <c r="AG7" s="3">
        <v>4</v>
      </c>
      <c r="AH7" s="3">
        <v>4</v>
      </c>
      <c r="AI7" t="s">
        <v>232</v>
      </c>
      <c r="AJ7" t="s">
        <v>232</v>
      </c>
      <c r="AK7" t="s">
        <v>232</v>
      </c>
      <c r="AL7" t="s">
        <v>232</v>
      </c>
      <c r="AM7">
        <f t="shared" si="11"/>
        <v>0</v>
      </c>
      <c r="AN7">
        <f t="shared" si="12"/>
        <v>1</v>
      </c>
      <c r="AO7">
        <f t="shared" si="13"/>
        <v>0</v>
      </c>
      <c r="AP7">
        <f t="shared" si="14"/>
        <v>1</v>
      </c>
      <c r="AQ7">
        <f t="shared" si="15"/>
        <v>1</v>
      </c>
      <c r="AR7">
        <f t="shared" si="16"/>
        <v>0</v>
      </c>
      <c r="AS7">
        <f t="shared" si="17"/>
        <v>1</v>
      </c>
      <c r="AU7" s="3" t="s">
        <v>73</v>
      </c>
      <c r="AV7" s="3" t="s">
        <v>39</v>
      </c>
      <c r="AW7" s="3">
        <f t="shared" si="19"/>
        <v>1</v>
      </c>
      <c r="AX7" s="3">
        <f t="shared" si="20"/>
        <v>1</v>
      </c>
      <c r="AY7" s="3">
        <f t="shared" si="21"/>
        <v>1</v>
      </c>
      <c r="AZ7" s="3">
        <f t="shared" si="22"/>
        <v>1</v>
      </c>
      <c r="BA7" s="3">
        <f t="shared" si="23"/>
        <v>0</v>
      </c>
      <c r="BB7" s="3">
        <f t="shared" si="24"/>
        <v>1</v>
      </c>
      <c r="BC7" s="3" t="s">
        <v>74</v>
      </c>
      <c r="BD7" s="3" t="s">
        <v>45</v>
      </c>
    </row>
    <row r="8" spans="1:57" ht="22.5" customHeight="1" x14ac:dyDescent="0.25">
      <c r="A8" s="3">
        <v>22</v>
      </c>
      <c r="B8" s="3" t="s">
        <v>31</v>
      </c>
      <c r="C8" s="3" t="s">
        <v>32</v>
      </c>
      <c r="D8" s="3" t="s">
        <v>33</v>
      </c>
      <c r="E8" s="3" t="s">
        <v>49</v>
      </c>
      <c r="F8" s="3">
        <v>0</v>
      </c>
      <c r="G8" s="3">
        <v>0</v>
      </c>
      <c r="H8" s="3">
        <v>0</v>
      </c>
      <c r="I8" s="3">
        <v>0</v>
      </c>
      <c r="J8" s="3" t="s">
        <v>36</v>
      </c>
      <c r="K8" s="3">
        <f t="shared" si="0"/>
        <v>0</v>
      </c>
      <c r="L8" s="3">
        <f t="shared" si="1"/>
        <v>0</v>
      </c>
      <c r="M8" s="3">
        <f t="shared" si="18"/>
        <v>1</v>
      </c>
      <c r="N8" s="3">
        <f t="shared" si="2"/>
        <v>0</v>
      </c>
      <c r="O8" s="3">
        <f t="shared" si="3"/>
        <v>0</v>
      </c>
      <c r="P8" s="3">
        <f ca="1">IF($R8="","",IF(SUM(Form_Responses3[[#This Row],[moti_makefriends]:[moti_friendsinfluence]])=0,1,IF(COUNTA(textsplit(R8,","))&gt;SUM(Form_Responses3[[#This Row],[moti_makefriends]:[moti_friendsinfluence]]),1,0)))</f>
        <v>0</v>
      </c>
      <c r="Q8" s="3"/>
      <c r="R8" s="3" t="s">
        <v>75</v>
      </c>
      <c r="S8" s="3">
        <f t="shared" si="10"/>
        <v>1</v>
      </c>
      <c r="T8" s="3">
        <f t="shared" si="4"/>
        <v>1</v>
      </c>
      <c r="U8" s="3">
        <f t="shared" si="5"/>
        <v>1</v>
      </c>
      <c r="V8" s="3">
        <f t="shared" si="6"/>
        <v>0</v>
      </c>
      <c r="W8" s="3">
        <f t="shared" si="7"/>
        <v>0</v>
      </c>
      <c r="X8" s="3">
        <f t="shared" si="8"/>
        <v>0</v>
      </c>
      <c r="Y8" s="3">
        <f t="shared" si="9"/>
        <v>0</v>
      </c>
      <c r="Z8" s="3"/>
      <c r="AA8" s="3" t="s">
        <v>76</v>
      </c>
      <c r="AB8" s="3">
        <v>3</v>
      </c>
      <c r="AC8" s="3">
        <v>4</v>
      </c>
      <c r="AD8" s="3">
        <v>3</v>
      </c>
      <c r="AE8" s="3">
        <v>4</v>
      </c>
      <c r="AF8" s="3">
        <v>4</v>
      </c>
      <c r="AG8" s="3">
        <v>3</v>
      </c>
      <c r="AH8" s="3">
        <v>2</v>
      </c>
      <c r="AI8" t="s">
        <v>232</v>
      </c>
      <c r="AJ8" t="s">
        <v>232</v>
      </c>
      <c r="AK8" t="s">
        <v>232</v>
      </c>
      <c r="AL8" t="s">
        <v>232</v>
      </c>
      <c r="AM8">
        <f t="shared" si="11"/>
        <v>1</v>
      </c>
      <c r="AN8">
        <f t="shared" si="12"/>
        <v>0</v>
      </c>
      <c r="AO8">
        <f t="shared" si="13"/>
        <v>1</v>
      </c>
      <c r="AP8">
        <f t="shared" si="14"/>
        <v>0</v>
      </c>
      <c r="AQ8">
        <f t="shared" si="15"/>
        <v>0</v>
      </c>
      <c r="AR8">
        <f t="shared" si="16"/>
        <v>0</v>
      </c>
      <c r="AS8">
        <f t="shared" si="17"/>
        <v>0</v>
      </c>
      <c r="AU8" s="3" t="s">
        <v>77</v>
      </c>
      <c r="AV8" s="3" t="s">
        <v>43</v>
      </c>
      <c r="AW8" s="3" t="s">
        <v>232</v>
      </c>
      <c r="AX8" s="3" t="s">
        <v>232</v>
      </c>
      <c r="AY8" s="3" t="s">
        <v>232</v>
      </c>
      <c r="AZ8" s="3" t="s">
        <v>232</v>
      </c>
      <c r="BA8" s="3" t="s">
        <v>232</v>
      </c>
      <c r="BB8" s="3" t="s">
        <v>232</v>
      </c>
      <c r="BD8" s="3" t="s">
        <v>78</v>
      </c>
    </row>
    <row r="9" spans="1:57" ht="22.5" customHeight="1" x14ac:dyDescent="0.25">
      <c r="A9" s="3">
        <v>21</v>
      </c>
      <c r="B9" s="3" t="s">
        <v>55</v>
      </c>
      <c r="C9" s="3" t="s">
        <v>32</v>
      </c>
      <c r="D9" s="3" t="s">
        <v>79</v>
      </c>
      <c r="E9" s="3" t="s">
        <v>49</v>
      </c>
      <c r="F9" s="3">
        <v>2</v>
      </c>
      <c r="G9" s="3" t="s">
        <v>35</v>
      </c>
      <c r="H9" s="3">
        <v>0</v>
      </c>
      <c r="I9" s="3">
        <v>0</v>
      </c>
      <c r="J9" s="3" t="s">
        <v>36</v>
      </c>
      <c r="K9" s="3">
        <f t="shared" si="0"/>
        <v>0</v>
      </c>
      <c r="L9" s="3">
        <f t="shared" si="1"/>
        <v>0</v>
      </c>
      <c r="M9" s="3">
        <f t="shared" si="18"/>
        <v>1</v>
      </c>
      <c r="N9" s="3">
        <f t="shared" si="2"/>
        <v>0</v>
      </c>
      <c r="O9" s="3">
        <f t="shared" si="3"/>
        <v>1</v>
      </c>
      <c r="P9" s="3">
        <f ca="1">IF($R9="","",IF(SUM(Form_Responses3[[#This Row],[moti_makefriends]:[moti_friendsinfluence]])=0,1,IF(COUNTA(textsplit(R9,","))&gt;SUM(Form_Responses3[[#This Row],[moti_makefriends]:[moti_friendsinfluence]]),1,0)))</f>
        <v>0</v>
      </c>
      <c r="Q9" s="3"/>
      <c r="R9" s="3" t="s">
        <v>37</v>
      </c>
      <c r="S9" s="3">
        <f t="shared" si="10"/>
        <v>0</v>
      </c>
      <c r="T9" s="3">
        <f t="shared" si="4"/>
        <v>0</v>
      </c>
      <c r="U9" s="3">
        <f t="shared" si="5"/>
        <v>0</v>
      </c>
      <c r="V9" s="3">
        <f t="shared" si="6"/>
        <v>1</v>
      </c>
      <c r="W9" s="3">
        <f t="shared" si="7"/>
        <v>0</v>
      </c>
      <c r="X9" s="3">
        <f t="shared" si="8"/>
        <v>0</v>
      </c>
      <c r="Y9" s="3">
        <f t="shared" si="9"/>
        <v>1</v>
      </c>
      <c r="Z9" s="3"/>
      <c r="AA9" s="3" t="s">
        <v>80</v>
      </c>
      <c r="AB9" s="3">
        <v>3</v>
      </c>
      <c r="AC9" s="3">
        <v>3</v>
      </c>
      <c r="AD9" s="3">
        <v>3</v>
      </c>
      <c r="AE9" s="3">
        <v>3</v>
      </c>
      <c r="AF9" s="3">
        <v>3</v>
      </c>
      <c r="AG9" s="3">
        <v>2</v>
      </c>
      <c r="AH9" s="3">
        <v>2</v>
      </c>
      <c r="AI9" t="s">
        <v>232</v>
      </c>
      <c r="AJ9" t="s">
        <v>232</v>
      </c>
      <c r="AK9" t="s">
        <v>232</v>
      </c>
      <c r="AL9" t="s">
        <v>232</v>
      </c>
      <c r="AM9">
        <f t="shared" si="11"/>
        <v>0</v>
      </c>
      <c r="AN9">
        <f t="shared" si="12"/>
        <v>0</v>
      </c>
      <c r="AO9">
        <f t="shared" si="13"/>
        <v>0</v>
      </c>
      <c r="AP9">
        <f t="shared" si="14"/>
        <v>0</v>
      </c>
      <c r="AQ9">
        <f t="shared" si="15"/>
        <v>1</v>
      </c>
      <c r="AR9">
        <f t="shared" si="16"/>
        <v>1</v>
      </c>
      <c r="AS9">
        <f t="shared" si="17"/>
        <v>1</v>
      </c>
      <c r="AU9" s="3" t="s">
        <v>81</v>
      </c>
      <c r="AV9" s="3" t="s">
        <v>82</v>
      </c>
      <c r="AW9" s="3">
        <f t="shared" si="19"/>
        <v>0</v>
      </c>
      <c r="AX9" s="3">
        <f t="shared" si="20"/>
        <v>0</v>
      </c>
      <c r="AY9" s="3">
        <f t="shared" si="21"/>
        <v>0</v>
      </c>
      <c r="AZ9" s="3">
        <f t="shared" si="22"/>
        <v>0</v>
      </c>
      <c r="BA9" s="3">
        <f t="shared" si="23"/>
        <v>1</v>
      </c>
      <c r="BB9" s="3">
        <f t="shared" si="24"/>
        <v>0</v>
      </c>
      <c r="BC9" s="3" t="s">
        <v>83</v>
      </c>
      <c r="BD9" s="3" t="s">
        <v>64</v>
      </c>
      <c r="BE9" s="3">
        <v>3</v>
      </c>
    </row>
    <row r="10" spans="1:57" ht="22.5" customHeight="1" x14ac:dyDescent="0.25">
      <c r="A10" s="3">
        <v>23</v>
      </c>
      <c r="B10" s="3" t="s">
        <v>31</v>
      </c>
      <c r="C10" s="3" t="s">
        <v>47</v>
      </c>
      <c r="D10" s="3" t="s">
        <v>48</v>
      </c>
      <c r="E10" s="3" t="s">
        <v>49</v>
      </c>
      <c r="F10" s="3" t="s">
        <v>57</v>
      </c>
      <c r="G10" s="3" t="s">
        <v>84</v>
      </c>
      <c r="H10" s="3">
        <v>0</v>
      </c>
      <c r="I10" s="3">
        <v>0</v>
      </c>
      <c r="J10" s="3" t="s">
        <v>51</v>
      </c>
      <c r="K10" s="3">
        <f t="shared" si="0"/>
        <v>0</v>
      </c>
      <c r="L10" s="3">
        <f t="shared" si="1"/>
        <v>1</v>
      </c>
      <c r="M10" s="3">
        <f t="shared" si="18"/>
        <v>1</v>
      </c>
      <c r="N10" s="3">
        <f t="shared" si="2"/>
        <v>1</v>
      </c>
      <c r="O10" s="3">
        <f t="shared" si="3"/>
        <v>1</v>
      </c>
      <c r="P10" s="3">
        <f ca="1">IF($R10="","",IF(SUM(Form_Responses3[[#This Row],[moti_makefriends]:[moti_friendsinfluence]])=0,1,IF(COUNTA(textsplit(R10,","))&gt;SUM(Form_Responses3[[#This Row],[moti_makefriends]:[moti_friendsinfluence]]),1,0)))</f>
        <v>0</v>
      </c>
      <c r="Q10" s="3"/>
      <c r="R10" s="3" t="s">
        <v>85</v>
      </c>
      <c r="S10" s="3">
        <f t="shared" si="10"/>
        <v>1</v>
      </c>
      <c r="T10" s="3">
        <f t="shared" si="4"/>
        <v>1</v>
      </c>
      <c r="U10" s="3">
        <f t="shared" si="5"/>
        <v>0</v>
      </c>
      <c r="V10" s="3">
        <f t="shared" si="6"/>
        <v>0</v>
      </c>
      <c r="W10" s="3">
        <f t="shared" si="7"/>
        <v>1</v>
      </c>
      <c r="X10" s="3">
        <f t="shared" si="8"/>
        <v>1</v>
      </c>
      <c r="Y10" s="3">
        <f t="shared" si="9"/>
        <v>0</v>
      </c>
      <c r="Z10" s="3"/>
      <c r="AA10" s="3" t="s">
        <v>86</v>
      </c>
      <c r="AB10" s="3">
        <v>3</v>
      </c>
      <c r="AC10" s="3">
        <v>3</v>
      </c>
      <c r="AD10" s="3">
        <v>4</v>
      </c>
      <c r="AE10" s="3">
        <v>3</v>
      </c>
      <c r="AF10" s="3">
        <v>4</v>
      </c>
      <c r="AG10" s="3">
        <v>5</v>
      </c>
      <c r="AH10" s="3">
        <v>2</v>
      </c>
      <c r="AI10" t="s">
        <v>232</v>
      </c>
      <c r="AJ10" t="s">
        <v>232</v>
      </c>
      <c r="AK10" t="s">
        <v>232</v>
      </c>
      <c r="AL10" t="s">
        <v>232</v>
      </c>
      <c r="AM10">
        <f t="shared" si="11"/>
        <v>1</v>
      </c>
      <c r="AN10">
        <f t="shared" si="12"/>
        <v>1</v>
      </c>
      <c r="AO10">
        <f t="shared" si="13"/>
        <v>1</v>
      </c>
      <c r="AP10">
        <f t="shared" si="14"/>
        <v>0</v>
      </c>
      <c r="AQ10">
        <f t="shared" si="15"/>
        <v>1</v>
      </c>
      <c r="AR10">
        <f t="shared" si="16"/>
        <v>0</v>
      </c>
      <c r="AS10">
        <f t="shared" si="17"/>
        <v>0</v>
      </c>
      <c r="AU10" s="3" t="s">
        <v>87</v>
      </c>
      <c r="AV10" s="3" t="s">
        <v>82</v>
      </c>
      <c r="AW10" s="3">
        <f t="shared" si="19"/>
        <v>0</v>
      </c>
      <c r="AX10" s="3">
        <f t="shared" si="20"/>
        <v>1</v>
      </c>
      <c r="AY10" s="3">
        <f t="shared" si="21"/>
        <v>0</v>
      </c>
      <c r="AZ10" s="3">
        <f t="shared" si="22"/>
        <v>0</v>
      </c>
      <c r="BA10" s="3">
        <f t="shared" si="23"/>
        <v>1</v>
      </c>
      <c r="BB10" s="3">
        <f t="shared" si="24"/>
        <v>1</v>
      </c>
      <c r="BC10" s="3" t="s">
        <v>88</v>
      </c>
      <c r="BD10" s="3" t="s">
        <v>45</v>
      </c>
    </row>
    <row r="11" spans="1:57" ht="22.5" customHeight="1" x14ac:dyDescent="0.25">
      <c r="A11" s="3">
        <v>22</v>
      </c>
      <c r="B11" s="3" t="s">
        <v>31</v>
      </c>
      <c r="C11" s="3" t="s">
        <v>32</v>
      </c>
      <c r="D11" s="3" t="s">
        <v>33</v>
      </c>
      <c r="E11" s="3" t="s">
        <v>49</v>
      </c>
      <c r="F11" s="3" t="s">
        <v>57</v>
      </c>
      <c r="G11" s="3" t="s">
        <v>58</v>
      </c>
      <c r="H11" s="3">
        <v>0</v>
      </c>
      <c r="I11" s="3" t="s">
        <v>35</v>
      </c>
      <c r="J11" s="3" t="s">
        <v>36</v>
      </c>
      <c r="K11" s="3">
        <f t="shared" si="0"/>
        <v>0</v>
      </c>
      <c r="L11" s="3">
        <f t="shared" si="1"/>
        <v>1</v>
      </c>
      <c r="M11" s="3">
        <f t="shared" si="18"/>
        <v>0</v>
      </c>
      <c r="N11" s="3">
        <f t="shared" si="2"/>
        <v>0</v>
      </c>
      <c r="O11" s="3">
        <f t="shared" si="3"/>
        <v>0</v>
      </c>
      <c r="P11" s="3">
        <f ca="1">IF($R11="","",IF(SUM(Form_Responses3[[#This Row],[moti_makefriends]:[moti_friendsinfluence]])=0,1,IF(COUNTA(textsplit(R11,","))&gt;SUM(Form_Responses3[[#This Row],[moti_makefriends]:[moti_friendsinfluence]]),1,0)))</f>
        <v>0</v>
      </c>
      <c r="Q11" s="3"/>
      <c r="R11" s="3" t="s">
        <v>89</v>
      </c>
      <c r="S11" s="3">
        <f t="shared" si="10"/>
        <v>0</v>
      </c>
      <c r="T11" s="3">
        <f t="shared" si="4"/>
        <v>1</v>
      </c>
      <c r="U11" s="3">
        <f t="shared" si="5"/>
        <v>0</v>
      </c>
      <c r="V11" s="3">
        <f t="shared" si="6"/>
        <v>1</v>
      </c>
      <c r="W11" s="3">
        <f t="shared" si="7"/>
        <v>0</v>
      </c>
      <c r="X11" s="3">
        <f t="shared" si="8"/>
        <v>0</v>
      </c>
      <c r="Y11" s="3">
        <f t="shared" si="9"/>
        <v>0</v>
      </c>
      <c r="Z11" s="3"/>
      <c r="AA11" s="3" t="s">
        <v>38</v>
      </c>
      <c r="AB11" s="3">
        <v>1</v>
      </c>
      <c r="AC11" s="3">
        <v>3</v>
      </c>
      <c r="AD11" s="3">
        <v>1</v>
      </c>
      <c r="AE11" s="3">
        <v>2</v>
      </c>
      <c r="AF11" s="3">
        <v>2</v>
      </c>
      <c r="AG11" s="3">
        <v>3</v>
      </c>
      <c r="AH11" s="3">
        <v>1</v>
      </c>
      <c r="AI11" t="s">
        <v>232</v>
      </c>
      <c r="AJ11" t="s">
        <v>232</v>
      </c>
      <c r="AK11" t="s">
        <v>232</v>
      </c>
      <c r="AL11" t="s">
        <v>232</v>
      </c>
      <c r="AM11">
        <f t="shared" si="11"/>
        <v>0</v>
      </c>
      <c r="AN11">
        <f t="shared" si="12"/>
        <v>1</v>
      </c>
      <c r="AO11">
        <f t="shared" si="13"/>
        <v>0</v>
      </c>
      <c r="AP11">
        <f t="shared" si="14"/>
        <v>1</v>
      </c>
      <c r="AQ11">
        <f t="shared" si="15"/>
        <v>0</v>
      </c>
      <c r="AR11">
        <f t="shared" si="16"/>
        <v>1</v>
      </c>
      <c r="AS11">
        <f t="shared" si="17"/>
        <v>0</v>
      </c>
      <c r="AU11" s="3" t="s">
        <v>90</v>
      </c>
      <c r="AV11" s="3" t="s">
        <v>82</v>
      </c>
      <c r="AW11" s="3">
        <f t="shared" si="19"/>
        <v>0</v>
      </c>
      <c r="AX11" s="3">
        <f t="shared" si="20"/>
        <v>1</v>
      </c>
      <c r="AY11" s="3">
        <f t="shared" si="21"/>
        <v>0</v>
      </c>
      <c r="AZ11" s="3">
        <f t="shared" si="22"/>
        <v>0</v>
      </c>
      <c r="BA11" s="3">
        <f t="shared" si="23"/>
        <v>1</v>
      </c>
      <c r="BB11" s="3">
        <f t="shared" si="24"/>
        <v>0</v>
      </c>
      <c r="BC11" s="3" t="s">
        <v>91</v>
      </c>
      <c r="BD11" s="3" t="s">
        <v>45</v>
      </c>
      <c r="BE11" s="3">
        <v>3</v>
      </c>
    </row>
    <row r="12" spans="1:57" ht="22.5" customHeight="1" x14ac:dyDescent="0.25">
      <c r="A12" s="3">
        <v>22</v>
      </c>
      <c r="B12" s="3" t="s">
        <v>55</v>
      </c>
      <c r="C12" s="3" t="s">
        <v>32</v>
      </c>
      <c r="D12" s="3" t="s">
        <v>33</v>
      </c>
      <c r="E12" s="3" t="s">
        <v>49</v>
      </c>
      <c r="F12" s="3">
        <v>0</v>
      </c>
      <c r="G12" s="3">
        <v>0</v>
      </c>
      <c r="H12" s="3">
        <v>0</v>
      </c>
      <c r="I12" s="3">
        <v>0</v>
      </c>
      <c r="J12" s="3" t="s">
        <v>92</v>
      </c>
      <c r="K12" s="3">
        <f t="shared" si="0"/>
        <v>1</v>
      </c>
      <c r="L12" s="3">
        <f t="shared" si="1"/>
        <v>1</v>
      </c>
      <c r="M12" s="3">
        <f t="shared" si="18"/>
        <v>1</v>
      </c>
      <c r="N12" s="3">
        <f t="shared" si="2"/>
        <v>0</v>
      </c>
      <c r="O12" s="3">
        <f t="shared" si="3"/>
        <v>0</v>
      </c>
      <c r="P12" s="3">
        <f ca="1">IF($R12="","",IF(SUM(Form_Responses3[[#This Row],[moti_makefriends]:[moti_friendsinfluence]])=0,1,IF(COUNTA(textsplit(R12,","))&gt;SUM(Form_Responses3[[#This Row],[moti_makefriends]:[moti_friendsinfluence]]),1,0)))</f>
        <v>0</v>
      </c>
      <c r="Q12" s="3"/>
      <c r="R12" s="3" t="s">
        <v>93</v>
      </c>
      <c r="S12" s="3">
        <f t="shared" si="10"/>
        <v>0</v>
      </c>
      <c r="T12" s="3">
        <f t="shared" si="4"/>
        <v>0</v>
      </c>
      <c r="U12" s="3">
        <f t="shared" si="5"/>
        <v>0</v>
      </c>
      <c r="V12" s="3">
        <f t="shared" si="6"/>
        <v>0</v>
      </c>
      <c r="W12" s="3">
        <f t="shared" si="7"/>
        <v>0</v>
      </c>
      <c r="X12" s="3">
        <f t="shared" si="8"/>
        <v>1</v>
      </c>
      <c r="Y12" s="3">
        <f t="shared" si="9"/>
        <v>0</v>
      </c>
      <c r="Z12" s="3"/>
      <c r="AA12" s="3" t="s">
        <v>94</v>
      </c>
      <c r="AB12" s="3">
        <v>1</v>
      </c>
      <c r="AC12" s="3">
        <v>2</v>
      </c>
      <c r="AD12" s="3">
        <v>3</v>
      </c>
      <c r="AE12" s="3">
        <v>3</v>
      </c>
      <c r="AF12" s="3">
        <v>4</v>
      </c>
      <c r="AG12" s="3">
        <v>1</v>
      </c>
      <c r="AH12" s="3">
        <v>1</v>
      </c>
      <c r="AI12" t="s">
        <v>232</v>
      </c>
      <c r="AJ12" t="s">
        <v>232</v>
      </c>
      <c r="AK12" t="s">
        <v>232</v>
      </c>
      <c r="AL12" t="s">
        <v>232</v>
      </c>
      <c r="AM12">
        <f t="shared" si="11"/>
        <v>0</v>
      </c>
      <c r="AN12">
        <f t="shared" si="12"/>
        <v>0</v>
      </c>
      <c r="AO12">
        <f t="shared" si="13"/>
        <v>0</v>
      </c>
      <c r="AP12">
        <f t="shared" si="14"/>
        <v>0</v>
      </c>
      <c r="AQ12">
        <f t="shared" si="15"/>
        <v>1</v>
      </c>
      <c r="AR12">
        <f t="shared" si="16"/>
        <v>0</v>
      </c>
      <c r="AS12">
        <f t="shared" si="17"/>
        <v>1</v>
      </c>
      <c r="AU12" s="3" t="s">
        <v>42</v>
      </c>
      <c r="AV12" s="3" t="s">
        <v>82</v>
      </c>
      <c r="AW12" s="3">
        <f t="shared" si="19"/>
        <v>0</v>
      </c>
      <c r="AX12" s="3">
        <f t="shared" si="20"/>
        <v>0</v>
      </c>
      <c r="AY12" s="3">
        <f t="shared" si="21"/>
        <v>0</v>
      </c>
      <c r="AZ12" s="3">
        <f t="shared" si="22"/>
        <v>1</v>
      </c>
      <c r="BA12" s="3">
        <f t="shared" si="23"/>
        <v>0</v>
      </c>
      <c r="BB12" s="3">
        <f t="shared" si="24"/>
        <v>0</v>
      </c>
      <c r="BC12" s="3" t="s">
        <v>95</v>
      </c>
      <c r="BD12" s="3" t="s">
        <v>64</v>
      </c>
    </row>
    <row r="13" spans="1:57" ht="22.5" customHeight="1" x14ac:dyDescent="0.25">
      <c r="A13" s="3">
        <v>21</v>
      </c>
      <c r="B13" s="3" t="s">
        <v>31</v>
      </c>
      <c r="C13" s="3" t="s">
        <v>47</v>
      </c>
      <c r="D13" s="3" t="s">
        <v>48</v>
      </c>
      <c r="E13" s="3" t="s">
        <v>49</v>
      </c>
      <c r="F13" s="3">
        <v>1</v>
      </c>
      <c r="G13" s="3" t="s">
        <v>50</v>
      </c>
      <c r="H13" s="3">
        <v>0</v>
      </c>
      <c r="I13" s="3">
        <v>0</v>
      </c>
      <c r="J13" s="3" t="s">
        <v>36</v>
      </c>
      <c r="K13" s="3">
        <f t="shared" si="0"/>
        <v>0</v>
      </c>
      <c r="L13" s="3">
        <f t="shared" si="1"/>
        <v>0</v>
      </c>
      <c r="M13" s="3">
        <f t="shared" si="18"/>
        <v>1</v>
      </c>
      <c r="N13" s="3">
        <f t="shared" si="2"/>
        <v>0</v>
      </c>
      <c r="O13" s="3">
        <f t="shared" si="3"/>
        <v>0</v>
      </c>
      <c r="P13" s="3">
        <f ca="1">IF($R13="","",IF(SUM(Form_Responses3[[#This Row],[moti_makefriends]:[moti_friendsinfluence]])=0,1,IF(COUNTA(textsplit(R13,","))&gt;SUM(Form_Responses3[[#This Row],[moti_makefriends]:[moti_friendsinfluence]]),1,0)))</f>
        <v>0</v>
      </c>
      <c r="Q13" s="3"/>
      <c r="R13" s="3" t="s">
        <v>75</v>
      </c>
      <c r="S13" s="3">
        <f t="shared" si="10"/>
        <v>0</v>
      </c>
      <c r="T13" s="3">
        <f t="shared" si="4"/>
        <v>0</v>
      </c>
      <c r="U13" s="3">
        <f t="shared" si="5"/>
        <v>0</v>
      </c>
      <c r="V13" s="3">
        <f t="shared" si="6"/>
        <v>1</v>
      </c>
      <c r="W13" s="3">
        <f t="shared" si="7"/>
        <v>0</v>
      </c>
      <c r="X13" s="3">
        <f t="shared" si="8"/>
        <v>1</v>
      </c>
      <c r="Y13" s="3">
        <f t="shared" si="9"/>
        <v>0</v>
      </c>
      <c r="Z13" s="3"/>
      <c r="AA13" s="3" t="s">
        <v>96</v>
      </c>
      <c r="AB13" s="3">
        <v>2</v>
      </c>
      <c r="AC13" s="3">
        <v>1</v>
      </c>
      <c r="AD13" s="3">
        <v>1</v>
      </c>
      <c r="AE13" s="3">
        <v>1</v>
      </c>
      <c r="AF13" s="3">
        <v>1</v>
      </c>
      <c r="AG13" s="3">
        <v>4</v>
      </c>
      <c r="AH13" s="3">
        <v>1</v>
      </c>
      <c r="AI13" t="s">
        <v>232</v>
      </c>
      <c r="AJ13" t="s">
        <v>232</v>
      </c>
      <c r="AK13" t="s">
        <v>232</v>
      </c>
      <c r="AL13" t="s">
        <v>232</v>
      </c>
      <c r="AM13">
        <f t="shared" si="11"/>
        <v>1</v>
      </c>
      <c r="AN13">
        <f t="shared" si="12"/>
        <v>0</v>
      </c>
      <c r="AO13">
        <f t="shared" si="13"/>
        <v>1</v>
      </c>
      <c r="AP13">
        <f t="shared" si="14"/>
        <v>0</v>
      </c>
      <c r="AQ13">
        <f t="shared" si="15"/>
        <v>0</v>
      </c>
      <c r="AR13">
        <f t="shared" si="16"/>
        <v>0</v>
      </c>
      <c r="AS13">
        <f t="shared" si="17"/>
        <v>0</v>
      </c>
      <c r="AU13" s="3" t="s">
        <v>77</v>
      </c>
      <c r="AV13" s="3" t="s">
        <v>43</v>
      </c>
      <c r="AW13" s="3" t="s">
        <v>232</v>
      </c>
      <c r="AX13" s="3" t="s">
        <v>232</v>
      </c>
      <c r="AY13" s="3" t="s">
        <v>232</v>
      </c>
      <c r="AZ13" s="3" t="s">
        <v>232</v>
      </c>
      <c r="BA13" s="3" t="s">
        <v>232</v>
      </c>
      <c r="BB13" s="3" t="s">
        <v>232</v>
      </c>
      <c r="BD13" s="3" t="s">
        <v>64</v>
      </c>
    </row>
    <row r="14" spans="1:57" ht="22.5" customHeight="1" x14ac:dyDescent="0.25">
      <c r="A14" s="3">
        <v>24</v>
      </c>
      <c r="B14" s="3" t="s">
        <v>31</v>
      </c>
      <c r="C14" s="3" t="s">
        <v>47</v>
      </c>
      <c r="D14" s="3" t="s">
        <v>48</v>
      </c>
      <c r="E14" s="3" t="s">
        <v>49</v>
      </c>
      <c r="F14" s="3">
        <v>0</v>
      </c>
      <c r="G14" s="3" t="s">
        <v>35</v>
      </c>
      <c r="H14" s="3">
        <v>0</v>
      </c>
      <c r="I14" s="3" t="s">
        <v>35</v>
      </c>
      <c r="J14" s="3" t="s">
        <v>51</v>
      </c>
      <c r="K14" s="3">
        <f t="shared" si="0"/>
        <v>0</v>
      </c>
      <c r="L14" s="3">
        <f t="shared" si="1"/>
        <v>0</v>
      </c>
      <c r="M14" s="3">
        <f t="shared" si="18"/>
        <v>1</v>
      </c>
      <c r="N14" s="3">
        <f t="shared" si="2"/>
        <v>0</v>
      </c>
      <c r="O14" s="3">
        <f t="shared" si="3"/>
        <v>0</v>
      </c>
      <c r="P14" s="3">
        <f ca="1">IF($R14="","",IF(SUM(Form_Responses3[[#This Row],[moti_makefriends]:[moti_friendsinfluence]])=0,1,IF(COUNTA(textsplit(R14,","))&gt;SUM(Form_Responses3[[#This Row],[moti_makefriends]:[moti_friendsinfluence]]),1,0)))</f>
        <v>0</v>
      </c>
      <c r="Q14" s="3"/>
      <c r="R14" s="3" t="s">
        <v>97</v>
      </c>
      <c r="S14" s="3">
        <f t="shared" si="10"/>
        <v>1</v>
      </c>
      <c r="T14" s="3">
        <f t="shared" si="4"/>
        <v>1</v>
      </c>
      <c r="U14" s="3">
        <f t="shared" si="5"/>
        <v>1</v>
      </c>
      <c r="V14" s="3">
        <f t="shared" si="6"/>
        <v>0</v>
      </c>
      <c r="W14" s="3">
        <f t="shared" si="7"/>
        <v>0</v>
      </c>
      <c r="X14" s="3">
        <f t="shared" si="8"/>
        <v>0</v>
      </c>
      <c r="Y14" s="3">
        <f t="shared" si="9"/>
        <v>0</v>
      </c>
      <c r="Z14" s="3"/>
      <c r="AA14" s="3" t="s">
        <v>53</v>
      </c>
      <c r="AB14" s="3">
        <v>4</v>
      </c>
      <c r="AC14" s="3">
        <v>4</v>
      </c>
      <c r="AD14" s="3">
        <v>4</v>
      </c>
      <c r="AE14" s="3">
        <v>4</v>
      </c>
      <c r="AF14" s="3">
        <v>3</v>
      </c>
      <c r="AG14" s="3">
        <v>4</v>
      </c>
      <c r="AH14" s="3">
        <v>4</v>
      </c>
      <c r="AI14" t="s">
        <v>232</v>
      </c>
      <c r="AJ14" t="s">
        <v>232</v>
      </c>
      <c r="AK14" t="s">
        <v>232</v>
      </c>
      <c r="AL14" t="s">
        <v>232</v>
      </c>
      <c r="AM14">
        <f t="shared" si="11"/>
        <v>0</v>
      </c>
      <c r="AN14">
        <f t="shared" si="12"/>
        <v>1</v>
      </c>
      <c r="AO14">
        <f t="shared" si="13"/>
        <v>1</v>
      </c>
      <c r="AP14">
        <f t="shared" si="14"/>
        <v>0</v>
      </c>
      <c r="AQ14">
        <f t="shared" si="15"/>
        <v>0</v>
      </c>
      <c r="AR14">
        <f t="shared" si="16"/>
        <v>0</v>
      </c>
      <c r="AS14">
        <f t="shared" si="17"/>
        <v>1</v>
      </c>
      <c r="AU14" s="3" t="s">
        <v>98</v>
      </c>
      <c r="AV14" s="3" t="s">
        <v>82</v>
      </c>
      <c r="AW14" s="3">
        <f t="shared" si="19"/>
        <v>0</v>
      </c>
      <c r="AX14" s="3">
        <f t="shared" si="20"/>
        <v>0</v>
      </c>
      <c r="AY14" s="3">
        <f t="shared" si="21"/>
        <v>0</v>
      </c>
      <c r="AZ14" s="3">
        <f t="shared" si="22"/>
        <v>1</v>
      </c>
      <c r="BA14" s="3">
        <f t="shared" si="23"/>
        <v>0</v>
      </c>
      <c r="BB14" s="3">
        <f t="shared" si="24"/>
        <v>1</v>
      </c>
      <c r="BC14" s="3" t="s">
        <v>44</v>
      </c>
      <c r="BD14" s="3" t="s">
        <v>64</v>
      </c>
    </row>
    <row r="15" spans="1:57" ht="22.5" customHeight="1" x14ac:dyDescent="0.25">
      <c r="A15" s="3">
        <v>23</v>
      </c>
      <c r="B15" s="3" t="s">
        <v>55</v>
      </c>
      <c r="C15" s="3" t="s">
        <v>32</v>
      </c>
      <c r="D15" s="3" t="s">
        <v>79</v>
      </c>
      <c r="E15" s="3" t="s">
        <v>49</v>
      </c>
      <c r="F15" s="3">
        <v>0</v>
      </c>
      <c r="G15" s="3">
        <v>0</v>
      </c>
      <c r="H15" s="3">
        <v>0</v>
      </c>
      <c r="I15" s="3">
        <v>0</v>
      </c>
      <c r="J15" s="3" t="s">
        <v>36</v>
      </c>
      <c r="K15" s="3">
        <f t="shared" si="0"/>
        <v>0</v>
      </c>
      <c r="L15" s="3">
        <f t="shared" si="1"/>
        <v>1</v>
      </c>
      <c r="M15" s="3">
        <f t="shared" si="18"/>
        <v>1</v>
      </c>
      <c r="N15" s="3">
        <f t="shared" si="2"/>
        <v>0</v>
      </c>
      <c r="O15" s="3">
        <f t="shared" si="3"/>
        <v>0</v>
      </c>
      <c r="P15" s="3">
        <f ca="1">IF($R15="","",IF(SUM(Form_Responses3[[#This Row],[moti_makefriends]:[moti_friendsinfluence]])=0,1,IF(COUNTA(textsplit(R15,","))&gt;SUM(Form_Responses3[[#This Row],[moti_makefriends]:[moti_friendsinfluence]]),1,0)))</f>
        <v>0</v>
      </c>
      <c r="Q15" s="3"/>
      <c r="R15" s="3" t="s">
        <v>99</v>
      </c>
      <c r="S15" s="3">
        <f t="shared" si="10"/>
        <v>1</v>
      </c>
      <c r="T15" s="3">
        <f t="shared" si="4"/>
        <v>1</v>
      </c>
      <c r="U15" s="3">
        <f t="shared" si="5"/>
        <v>0</v>
      </c>
      <c r="V15" s="3">
        <f t="shared" si="6"/>
        <v>1</v>
      </c>
      <c r="W15" s="3">
        <f t="shared" si="7"/>
        <v>0</v>
      </c>
      <c r="X15" s="3">
        <f t="shared" si="8"/>
        <v>0</v>
      </c>
      <c r="Y15" s="3">
        <f t="shared" si="9"/>
        <v>0</v>
      </c>
      <c r="Z15" s="3"/>
      <c r="AA15" s="3" t="s">
        <v>100</v>
      </c>
      <c r="AB15" s="3">
        <v>2</v>
      </c>
      <c r="AC15" s="3">
        <v>4</v>
      </c>
      <c r="AD15" s="3">
        <v>3</v>
      </c>
      <c r="AE15" s="3">
        <v>2</v>
      </c>
      <c r="AF15" s="3">
        <v>5</v>
      </c>
      <c r="AG15" s="3">
        <v>2</v>
      </c>
      <c r="AH15" s="3">
        <v>2</v>
      </c>
      <c r="AI15" t="s">
        <v>232</v>
      </c>
      <c r="AJ15" t="s">
        <v>232</v>
      </c>
      <c r="AK15" t="s">
        <v>232</v>
      </c>
      <c r="AL15" t="s">
        <v>232</v>
      </c>
      <c r="AM15">
        <f t="shared" si="11"/>
        <v>0</v>
      </c>
      <c r="AN15">
        <f t="shared" si="12"/>
        <v>1</v>
      </c>
      <c r="AO15">
        <f t="shared" si="13"/>
        <v>0</v>
      </c>
      <c r="AP15">
        <f t="shared" si="14"/>
        <v>1</v>
      </c>
      <c r="AQ15">
        <f t="shared" si="15"/>
        <v>0</v>
      </c>
      <c r="AR15">
        <f t="shared" si="16"/>
        <v>1</v>
      </c>
      <c r="AS15">
        <f t="shared" si="17"/>
        <v>1</v>
      </c>
      <c r="AU15" s="3" t="s">
        <v>101</v>
      </c>
      <c r="AV15" s="3" t="s">
        <v>82</v>
      </c>
      <c r="AW15" s="3">
        <f t="shared" si="19"/>
        <v>0</v>
      </c>
      <c r="AX15" s="3">
        <f t="shared" si="20"/>
        <v>0</v>
      </c>
      <c r="AY15" s="3">
        <f t="shared" si="21"/>
        <v>0</v>
      </c>
      <c r="AZ15" s="3">
        <f t="shared" si="22"/>
        <v>0</v>
      </c>
      <c r="BA15" s="3">
        <f t="shared" si="23"/>
        <v>0</v>
      </c>
      <c r="BB15" s="3">
        <f t="shared" si="24"/>
        <v>0</v>
      </c>
      <c r="BD15" s="3" t="s">
        <v>64</v>
      </c>
      <c r="BE15" s="3">
        <v>4</v>
      </c>
    </row>
    <row r="16" spans="1:57" ht="22.5" customHeight="1" x14ac:dyDescent="0.25">
      <c r="A16" s="3">
        <v>23</v>
      </c>
      <c r="B16" s="3" t="s">
        <v>55</v>
      </c>
      <c r="C16" s="3" t="s">
        <v>47</v>
      </c>
      <c r="D16" s="3" t="s">
        <v>79</v>
      </c>
      <c r="E16" s="3" t="s">
        <v>49</v>
      </c>
      <c r="F16" s="3">
        <v>2</v>
      </c>
      <c r="G16" s="3" t="s">
        <v>35</v>
      </c>
      <c r="H16" s="3">
        <v>1</v>
      </c>
      <c r="I16" s="3" t="s">
        <v>35</v>
      </c>
      <c r="J16" s="3" t="s">
        <v>36</v>
      </c>
      <c r="K16" s="3">
        <f t="shared" si="0"/>
        <v>1</v>
      </c>
      <c r="L16" s="3">
        <f t="shared" si="1"/>
        <v>1</v>
      </c>
      <c r="M16" s="3">
        <f t="shared" si="18"/>
        <v>1</v>
      </c>
      <c r="N16" s="3">
        <f t="shared" si="2"/>
        <v>1</v>
      </c>
      <c r="O16" s="3">
        <f t="shared" si="3"/>
        <v>1</v>
      </c>
      <c r="P16" s="3">
        <f ca="1">IF($R16="","",IF(SUM(Form_Responses3[[#This Row],[moti_makefriends]:[moti_friendsinfluence]])=0,1,IF(COUNTA(textsplit(R16,","))&gt;SUM(Form_Responses3[[#This Row],[moti_makefriends]:[moti_friendsinfluence]]),1,0)))</f>
        <v>0</v>
      </c>
      <c r="Q16" s="3"/>
      <c r="R16" s="3" t="s">
        <v>52</v>
      </c>
      <c r="S16" s="3">
        <f t="shared" si="10"/>
        <v>1</v>
      </c>
      <c r="T16" s="3">
        <f t="shared" si="4"/>
        <v>1</v>
      </c>
      <c r="U16" s="3">
        <f t="shared" si="5"/>
        <v>0</v>
      </c>
      <c r="V16" s="3">
        <f t="shared" si="6"/>
        <v>0</v>
      </c>
      <c r="W16" s="3">
        <f t="shared" si="7"/>
        <v>0</v>
      </c>
      <c r="X16" s="3">
        <f t="shared" si="8"/>
        <v>0</v>
      </c>
      <c r="Y16" s="3">
        <f t="shared" si="9"/>
        <v>0</v>
      </c>
      <c r="Z16" s="3"/>
      <c r="AA16" s="3" t="s">
        <v>70</v>
      </c>
      <c r="AB16" s="3">
        <v>5</v>
      </c>
      <c r="AC16" s="3">
        <v>5</v>
      </c>
      <c r="AD16" s="3">
        <v>3</v>
      </c>
      <c r="AE16" s="3">
        <v>5</v>
      </c>
      <c r="AF16" s="3">
        <v>5</v>
      </c>
      <c r="AG16" s="3">
        <v>5</v>
      </c>
      <c r="AH16" s="3">
        <v>3</v>
      </c>
      <c r="AI16" t="s">
        <v>232</v>
      </c>
      <c r="AJ16" t="s">
        <v>232</v>
      </c>
      <c r="AK16" t="s">
        <v>232</v>
      </c>
      <c r="AL16" t="s">
        <v>232</v>
      </c>
      <c r="AM16">
        <f t="shared" si="11"/>
        <v>1</v>
      </c>
      <c r="AN16">
        <f t="shared" si="12"/>
        <v>0</v>
      </c>
      <c r="AO16">
        <f t="shared" si="13"/>
        <v>1</v>
      </c>
      <c r="AP16">
        <f t="shared" si="14"/>
        <v>0</v>
      </c>
      <c r="AQ16">
        <f t="shared" si="15"/>
        <v>1</v>
      </c>
      <c r="AR16">
        <f t="shared" si="16"/>
        <v>0</v>
      </c>
      <c r="AS16">
        <f t="shared" si="17"/>
        <v>1</v>
      </c>
      <c r="AU16" s="3" t="s">
        <v>103</v>
      </c>
      <c r="AV16" s="3" t="s">
        <v>82</v>
      </c>
      <c r="AW16" s="3">
        <f t="shared" si="19"/>
        <v>0</v>
      </c>
      <c r="AX16" s="3">
        <f t="shared" si="20"/>
        <v>0</v>
      </c>
      <c r="AY16" s="3">
        <f t="shared" si="21"/>
        <v>0</v>
      </c>
      <c r="AZ16" s="3">
        <f t="shared" si="22"/>
        <v>0</v>
      </c>
      <c r="BA16" s="3">
        <f t="shared" si="23"/>
        <v>0</v>
      </c>
      <c r="BB16" s="3">
        <f t="shared" si="24"/>
        <v>1</v>
      </c>
      <c r="BC16" s="3" t="s">
        <v>104</v>
      </c>
      <c r="BD16" s="3" t="s">
        <v>64</v>
      </c>
      <c r="BE16" s="3">
        <v>4</v>
      </c>
    </row>
    <row r="17" spans="1:57" ht="22.5" customHeight="1" x14ac:dyDescent="0.25">
      <c r="A17" s="3">
        <v>23</v>
      </c>
      <c r="B17" s="3" t="s">
        <v>55</v>
      </c>
      <c r="C17" s="3" t="s">
        <v>32</v>
      </c>
      <c r="D17" s="3" t="s">
        <v>56</v>
      </c>
      <c r="E17" s="3" t="s">
        <v>34</v>
      </c>
      <c r="F17" s="3" t="s">
        <v>57</v>
      </c>
      <c r="G17" s="3" t="s">
        <v>84</v>
      </c>
      <c r="H17" s="3">
        <v>0</v>
      </c>
      <c r="I17" s="3" t="s">
        <v>50</v>
      </c>
      <c r="J17" s="3" t="s">
        <v>51</v>
      </c>
      <c r="K17" s="3">
        <f t="shared" si="0"/>
        <v>0</v>
      </c>
      <c r="L17" s="3">
        <f t="shared" si="1"/>
        <v>0</v>
      </c>
      <c r="M17" s="3">
        <f t="shared" si="18"/>
        <v>1</v>
      </c>
      <c r="N17" s="3">
        <f t="shared" si="2"/>
        <v>0</v>
      </c>
      <c r="O17" s="3">
        <f t="shared" si="3"/>
        <v>0</v>
      </c>
      <c r="P17" s="3">
        <f ca="1">IF($R17="","",IF(SUM(Form_Responses3[[#This Row],[moti_makefriends]:[moti_friendsinfluence]])=0,1,IF(COUNTA(textsplit(R17,","))&gt;SUM(Form_Responses3[[#This Row],[moti_makefriends]:[moti_friendsinfluence]]),1,0)))</f>
        <v>0</v>
      </c>
      <c r="Q17" s="3"/>
      <c r="R17" s="3" t="s">
        <v>75</v>
      </c>
      <c r="S17" s="3">
        <f t="shared" si="10"/>
        <v>0</v>
      </c>
      <c r="T17" s="3">
        <f t="shared" si="4"/>
        <v>1</v>
      </c>
      <c r="U17" s="3">
        <f t="shared" si="5"/>
        <v>0</v>
      </c>
      <c r="V17" s="3">
        <f t="shared" si="6"/>
        <v>0</v>
      </c>
      <c r="W17" s="3">
        <f t="shared" si="7"/>
        <v>0</v>
      </c>
      <c r="X17" s="3">
        <f t="shared" si="8"/>
        <v>0</v>
      </c>
      <c r="Y17" s="3">
        <f t="shared" si="9"/>
        <v>0</v>
      </c>
      <c r="Z17" s="3"/>
      <c r="AA17" s="3" t="s">
        <v>66</v>
      </c>
      <c r="AB17" s="3">
        <v>4</v>
      </c>
      <c r="AC17" s="3">
        <v>4</v>
      </c>
      <c r="AD17" s="3">
        <v>4</v>
      </c>
      <c r="AE17" s="3">
        <v>4</v>
      </c>
      <c r="AF17" s="3">
        <v>4</v>
      </c>
      <c r="AG17" s="3">
        <v>5</v>
      </c>
      <c r="AH17" s="3">
        <v>5</v>
      </c>
      <c r="AI17" s="3" t="s">
        <v>39</v>
      </c>
      <c r="AJ17" s="3" t="s">
        <v>61</v>
      </c>
      <c r="AK17" s="3" t="s">
        <v>40</v>
      </c>
      <c r="AL17" s="3" t="s">
        <v>41</v>
      </c>
      <c r="AM17" s="3">
        <f t="shared" si="11"/>
        <v>0</v>
      </c>
      <c r="AN17" s="3">
        <f t="shared" si="12"/>
        <v>1</v>
      </c>
      <c r="AO17" s="3">
        <f t="shared" si="13"/>
        <v>1</v>
      </c>
      <c r="AP17" s="3">
        <f t="shared" si="14"/>
        <v>1</v>
      </c>
      <c r="AQ17" s="3">
        <f t="shared" si="15"/>
        <v>1</v>
      </c>
      <c r="AR17" s="3">
        <f t="shared" si="16"/>
        <v>0</v>
      </c>
      <c r="AS17" s="3">
        <f t="shared" si="17"/>
        <v>0</v>
      </c>
      <c r="AT17" s="3"/>
      <c r="AU17" s="3" t="s">
        <v>105</v>
      </c>
      <c r="AV17" s="3" t="s">
        <v>43</v>
      </c>
      <c r="AW17" s="3" t="s">
        <v>232</v>
      </c>
      <c r="AX17" s="3" t="s">
        <v>232</v>
      </c>
      <c r="AY17" s="3" t="s">
        <v>232</v>
      </c>
      <c r="AZ17" s="3" t="s">
        <v>232</v>
      </c>
      <c r="BA17" s="3" t="s">
        <v>232</v>
      </c>
      <c r="BB17" s="3" t="s">
        <v>232</v>
      </c>
      <c r="BC17" s="3" t="s">
        <v>106</v>
      </c>
      <c r="BD17" s="3" t="s">
        <v>64</v>
      </c>
      <c r="BE17" s="3">
        <v>4</v>
      </c>
    </row>
    <row r="18" spans="1:57" ht="22.5" customHeight="1" x14ac:dyDescent="0.25">
      <c r="A18" s="3">
        <v>23</v>
      </c>
      <c r="B18" s="3" t="s">
        <v>31</v>
      </c>
      <c r="C18" s="3" t="s">
        <v>47</v>
      </c>
      <c r="D18" s="3" t="s">
        <v>79</v>
      </c>
      <c r="E18" s="3" t="s">
        <v>49</v>
      </c>
      <c r="F18" s="3">
        <v>0</v>
      </c>
      <c r="G18" s="3" t="s">
        <v>50</v>
      </c>
      <c r="H18" s="3" t="s">
        <v>57</v>
      </c>
      <c r="I18" s="3" t="s">
        <v>50</v>
      </c>
      <c r="J18" s="3" t="s">
        <v>36</v>
      </c>
      <c r="K18" s="3">
        <f t="shared" si="0"/>
        <v>0</v>
      </c>
      <c r="L18" s="3">
        <f t="shared" si="1"/>
        <v>1</v>
      </c>
      <c r="M18" s="3">
        <f t="shared" si="18"/>
        <v>0</v>
      </c>
      <c r="N18" s="3">
        <f t="shared" si="2"/>
        <v>0</v>
      </c>
      <c r="O18" s="3">
        <f t="shared" si="3"/>
        <v>0</v>
      </c>
      <c r="P18" s="3">
        <f ca="1">IF($R18="","",IF(SUM(Form_Responses3[[#This Row],[moti_makefriends]:[moti_friendsinfluence]])=0,1,IF(COUNTA(textsplit(R18,","))&gt;SUM(Form_Responses3[[#This Row],[moti_makefriends]:[moti_friendsinfluence]]),1,0)))</f>
        <v>0</v>
      </c>
      <c r="Q18" s="3"/>
      <c r="R18" s="3" t="s">
        <v>89</v>
      </c>
      <c r="S18" s="3">
        <f t="shared" si="10"/>
        <v>1</v>
      </c>
      <c r="T18" s="3">
        <f t="shared" si="4"/>
        <v>1</v>
      </c>
      <c r="U18" s="3">
        <f t="shared" si="5"/>
        <v>0</v>
      </c>
      <c r="V18" s="3">
        <f t="shared" si="6"/>
        <v>0</v>
      </c>
      <c r="W18" s="3">
        <f t="shared" si="7"/>
        <v>0</v>
      </c>
      <c r="X18" s="3">
        <f t="shared" si="8"/>
        <v>1</v>
      </c>
      <c r="Y18" s="3">
        <f t="shared" si="9"/>
        <v>0</v>
      </c>
      <c r="Z18" s="3"/>
      <c r="AA18" s="3" t="s">
        <v>108</v>
      </c>
      <c r="AB18" s="3">
        <v>3</v>
      </c>
      <c r="AC18" s="3">
        <v>3</v>
      </c>
      <c r="AD18" s="3">
        <v>3</v>
      </c>
      <c r="AE18" s="3">
        <v>3</v>
      </c>
      <c r="AF18" s="3">
        <v>3</v>
      </c>
      <c r="AG18" s="3">
        <v>2</v>
      </c>
      <c r="AH18" s="3">
        <v>1</v>
      </c>
      <c r="AI18" t="s">
        <v>232</v>
      </c>
      <c r="AJ18" t="s">
        <v>232</v>
      </c>
      <c r="AK18" t="s">
        <v>232</v>
      </c>
      <c r="AL18" t="s">
        <v>232</v>
      </c>
      <c r="AM18">
        <f t="shared" si="11"/>
        <v>0</v>
      </c>
      <c r="AN18">
        <f t="shared" si="12"/>
        <v>1</v>
      </c>
      <c r="AO18">
        <f t="shared" si="13"/>
        <v>0</v>
      </c>
      <c r="AP18">
        <f t="shared" si="14"/>
        <v>1</v>
      </c>
      <c r="AQ18">
        <f t="shared" si="15"/>
        <v>1</v>
      </c>
      <c r="AR18">
        <f t="shared" si="16"/>
        <v>0</v>
      </c>
      <c r="AS18">
        <f t="shared" si="17"/>
        <v>1</v>
      </c>
      <c r="AU18" s="3" t="s">
        <v>73</v>
      </c>
      <c r="AV18" s="3" t="s">
        <v>39</v>
      </c>
      <c r="AW18" s="3">
        <f t="shared" si="19"/>
        <v>1</v>
      </c>
      <c r="AX18" s="3">
        <f t="shared" si="20"/>
        <v>0</v>
      </c>
      <c r="AY18" s="3">
        <f t="shared" si="21"/>
        <v>0</v>
      </c>
      <c r="AZ18" s="3">
        <f t="shared" si="22"/>
        <v>0</v>
      </c>
      <c r="BA18" s="3">
        <f t="shared" si="23"/>
        <v>0</v>
      </c>
      <c r="BB18" s="3">
        <f t="shared" si="24"/>
        <v>1</v>
      </c>
      <c r="BC18" s="3" t="s">
        <v>109</v>
      </c>
      <c r="BD18" s="3" t="s">
        <v>64</v>
      </c>
      <c r="BE18" s="3">
        <v>3</v>
      </c>
    </row>
    <row r="19" spans="1:57" ht="22.5" customHeight="1" x14ac:dyDescent="0.25">
      <c r="A19" s="3">
        <v>22</v>
      </c>
      <c r="B19" s="3" t="s">
        <v>31</v>
      </c>
      <c r="C19" s="3" t="s">
        <v>47</v>
      </c>
      <c r="D19" s="3" t="s">
        <v>56</v>
      </c>
      <c r="E19" s="3" t="s">
        <v>49</v>
      </c>
      <c r="F19" s="3">
        <v>2</v>
      </c>
      <c r="G19" s="3" t="s">
        <v>50</v>
      </c>
      <c r="H19" s="3">
        <v>2</v>
      </c>
      <c r="I19" s="3">
        <v>0</v>
      </c>
      <c r="J19" s="3" t="s">
        <v>36</v>
      </c>
      <c r="K19" s="3">
        <f t="shared" si="0"/>
        <v>0</v>
      </c>
      <c r="L19" s="3">
        <f t="shared" si="1"/>
        <v>1</v>
      </c>
      <c r="M19" s="3">
        <f t="shared" si="18"/>
        <v>1</v>
      </c>
      <c r="N19" s="3">
        <f t="shared" si="2"/>
        <v>0</v>
      </c>
      <c r="O19" s="3">
        <f t="shared" si="3"/>
        <v>0</v>
      </c>
      <c r="P19" s="3">
        <f ca="1">IF($R19="","",IF(SUM(Form_Responses3[[#This Row],[moti_makefriends]:[moti_friendsinfluence]])=0,1,IF(COUNTA(textsplit(R19,","))&gt;SUM(Form_Responses3[[#This Row],[moti_makefriends]:[moti_friendsinfluence]]),1,0)))</f>
        <v>0</v>
      </c>
      <c r="Q19" s="3"/>
      <c r="R19" s="3" t="s">
        <v>99</v>
      </c>
      <c r="S19" s="3">
        <f t="shared" si="10"/>
        <v>1</v>
      </c>
      <c r="T19" s="3">
        <f t="shared" si="4"/>
        <v>1</v>
      </c>
      <c r="U19" s="3">
        <f t="shared" si="5"/>
        <v>0</v>
      </c>
      <c r="V19" s="3">
        <f t="shared" si="6"/>
        <v>0</v>
      </c>
      <c r="W19" s="3">
        <f t="shared" si="7"/>
        <v>0</v>
      </c>
      <c r="X19" s="3">
        <f t="shared" si="8"/>
        <v>0</v>
      </c>
      <c r="Y19" s="3">
        <f t="shared" si="9"/>
        <v>0</v>
      </c>
      <c r="Z19" s="3"/>
      <c r="AA19" s="3" t="s">
        <v>70</v>
      </c>
      <c r="AB19" s="3">
        <v>2</v>
      </c>
      <c r="AC19" s="3">
        <v>3</v>
      </c>
      <c r="AD19" s="3">
        <v>2</v>
      </c>
      <c r="AE19" s="3">
        <v>5</v>
      </c>
      <c r="AF19" s="3">
        <v>3</v>
      </c>
      <c r="AG19" s="3">
        <v>3</v>
      </c>
      <c r="AH19" s="3">
        <v>3</v>
      </c>
      <c r="AI19" t="s">
        <v>232</v>
      </c>
      <c r="AJ19" t="s">
        <v>232</v>
      </c>
      <c r="AK19" t="s">
        <v>232</v>
      </c>
      <c r="AL19" t="s">
        <v>232</v>
      </c>
      <c r="AM19">
        <f t="shared" si="11"/>
        <v>1</v>
      </c>
      <c r="AN19">
        <f t="shared" si="12"/>
        <v>1</v>
      </c>
      <c r="AO19">
        <f t="shared" si="13"/>
        <v>0</v>
      </c>
      <c r="AP19">
        <f t="shared" si="14"/>
        <v>1</v>
      </c>
      <c r="AQ19">
        <f t="shared" si="15"/>
        <v>0</v>
      </c>
      <c r="AR19">
        <f t="shared" si="16"/>
        <v>0</v>
      </c>
      <c r="AS19">
        <f t="shared" si="17"/>
        <v>0</v>
      </c>
      <c r="AU19" s="3" t="s">
        <v>110</v>
      </c>
      <c r="AV19" s="3" t="s">
        <v>82</v>
      </c>
      <c r="AW19" s="3">
        <f t="shared" si="19"/>
        <v>0</v>
      </c>
      <c r="AX19" s="3">
        <f t="shared" si="20"/>
        <v>1</v>
      </c>
      <c r="AY19" s="3">
        <f t="shared" si="21"/>
        <v>1</v>
      </c>
      <c r="AZ19" s="3">
        <f t="shared" si="22"/>
        <v>0</v>
      </c>
      <c r="BA19" s="3">
        <f t="shared" si="23"/>
        <v>0</v>
      </c>
      <c r="BB19" s="3">
        <f t="shared" si="24"/>
        <v>0</v>
      </c>
      <c r="BC19" s="3" t="s">
        <v>111</v>
      </c>
      <c r="BD19" s="3" t="s">
        <v>64</v>
      </c>
      <c r="BE19" s="3">
        <v>3</v>
      </c>
    </row>
    <row r="20" spans="1:57" ht="22.5" customHeight="1" x14ac:dyDescent="0.25">
      <c r="A20" s="3">
        <v>22</v>
      </c>
      <c r="B20" s="3" t="s">
        <v>55</v>
      </c>
      <c r="C20" s="3" t="s">
        <v>32</v>
      </c>
      <c r="D20" s="3" t="s">
        <v>79</v>
      </c>
      <c r="E20" s="3" t="s">
        <v>49</v>
      </c>
      <c r="F20" s="3">
        <v>0</v>
      </c>
      <c r="G20" s="3">
        <v>0</v>
      </c>
      <c r="H20" s="3">
        <v>0</v>
      </c>
      <c r="I20" s="3">
        <v>0</v>
      </c>
      <c r="J20" s="3" t="s">
        <v>36</v>
      </c>
      <c r="K20" s="3">
        <f t="shared" si="0"/>
        <v>0</v>
      </c>
      <c r="L20" s="3">
        <f t="shared" si="1"/>
        <v>0</v>
      </c>
      <c r="M20" s="3">
        <f t="shared" si="18"/>
        <v>1</v>
      </c>
      <c r="N20" s="3">
        <f t="shared" si="2"/>
        <v>0</v>
      </c>
      <c r="O20" s="3">
        <f t="shared" si="3"/>
        <v>0</v>
      </c>
      <c r="P20" s="3">
        <f ca="1">IF($R20="","",IF(SUM(Form_Responses3[[#This Row],[moti_makefriends]:[moti_friendsinfluence]])=0,1,IF(COUNTA(textsplit(R20,","))&gt;SUM(Form_Responses3[[#This Row],[moti_makefriends]:[moti_friendsinfluence]]),1,0)))</f>
        <v>0</v>
      </c>
      <c r="Q20" s="3"/>
      <c r="R20" s="3" t="s">
        <v>75</v>
      </c>
      <c r="S20" s="3">
        <f t="shared" si="10"/>
        <v>1</v>
      </c>
      <c r="T20" s="3">
        <f t="shared" si="4"/>
        <v>0</v>
      </c>
      <c r="U20" s="3">
        <f t="shared" si="5"/>
        <v>0</v>
      </c>
      <c r="V20" s="3">
        <f t="shared" si="6"/>
        <v>0</v>
      </c>
      <c r="W20" s="3">
        <f t="shared" si="7"/>
        <v>0</v>
      </c>
      <c r="X20" s="3">
        <f t="shared" si="8"/>
        <v>0</v>
      </c>
      <c r="Y20" s="3">
        <f t="shared" si="9"/>
        <v>0</v>
      </c>
      <c r="Z20" s="3"/>
      <c r="AA20" s="3" t="s">
        <v>112</v>
      </c>
      <c r="AB20" s="3">
        <v>3</v>
      </c>
      <c r="AC20" s="3">
        <v>3</v>
      </c>
      <c r="AD20" s="3">
        <v>3</v>
      </c>
      <c r="AE20" s="3">
        <v>3</v>
      </c>
      <c r="AF20" s="3">
        <v>3</v>
      </c>
      <c r="AG20" s="3">
        <v>3</v>
      </c>
      <c r="AH20" s="3">
        <v>3</v>
      </c>
      <c r="AI20" t="s">
        <v>232</v>
      </c>
      <c r="AJ20" t="s">
        <v>232</v>
      </c>
      <c r="AK20" t="s">
        <v>232</v>
      </c>
      <c r="AL20" t="s">
        <v>232</v>
      </c>
      <c r="AM20">
        <f t="shared" si="11"/>
        <v>0</v>
      </c>
      <c r="AN20">
        <f t="shared" si="12"/>
        <v>0</v>
      </c>
      <c r="AO20">
        <f t="shared" si="13"/>
        <v>0</v>
      </c>
      <c r="AP20">
        <f t="shared" si="14"/>
        <v>1</v>
      </c>
      <c r="AQ20">
        <f t="shared" si="15"/>
        <v>0</v>
      </c>
      <c r="AR20">
        <f t="shared" si="16"/>
        <v>1</v>
      </c>
      <c r="AS20">
        <f t="shared" si="17"/>
        <v>0</v>
      </c>
      <c r="AU20" s="3" t="s">
        <v>113</v>
      </c>
      <c r="AV20" s="3" t="s">
        <v>43</v>
      </c>
      <c r="AW20" s="3" t="s">
        <v>232</v>
      </c>
      <c r="AX20" s="3" t="s">
        <v>232</v>
      </c>
      <c r="AY20" s="3" t="s">
        <v>232</v>
      </c>
      <c r="AZ20" s="3" t="s">
        <v>232</v>
      </c>
      <c r="BA20" s="3" t="s">
        <v>232</v>
      </c>
      <c r="BB20" s="3" t="s">
        <v>232</v>
      </c>
      <c r="BC20" s="3" t="s">
        <v>104</v>
      </c>
      <c r="BD20" s="3" t="s">
        <v>45</v>
      </c>
      <c r="BE20" s="3">
        <v>3</v>
      </c>
    </row>
    <row r="21" spans="1:57" ht="22.5" customHeight="1" x14ac:dyDescent="0.25">
      <c r="A21" s="3">
        <v>21</v>
      </c>
      <c r="B21" s="3" t="s">
        <v>31</v>
      </c>
      <c r="C21" s="3" t="s">
        <v>32</v>
      </c>
      <c r="D21" s="3" t="s">
        <v>79</v>
      </c>
      <c r="E21" s="3" t="s">
        <v>49</v>
      </c>
      <c r="F21" s="3">
        <v>2</v>
      </c>
      <c r="G21" s="3" t="s">
        <v>50</v>
      </c>
      <c r="H21" s="3">
        <v>1</v>
      </c>
      <c r="I21" s="3" t="s">
        <v>50</v>
      </c>
      <c r="J21" s="3" t="s">
        <v>36</v>
      </c>
      <c r="K21" s="3">
        <f t="shared" si="0"/>
        <v>1</v>
      </c>
      <c r="L21" s="3">
        <f t="shared" si="1"/>
        <v>1</v>
      </c>
      <c r="M21" s="3">
        <f t="shared" si="18"/>
        <v>1</v>
      </c>
      <c r="N21" s="3">
        <f t="shared" si="2"/>
        <v>0</v>
      </c>
      <c r="O21" s="3">
        <f t="shared" si="3"/>
        <v>0</v>
      </c>
      <c r="P21" s="3">
        <f ca="1">IF($R21="","",IF(SUM(Form_Responses3[[#This Row],[moti_makefriends]:[moti_friendsinfluence]])=0,1,IF(COUNTA(textsplit(R21,","))&gt;SUM(Form_Responses3[[#This Row],[moti_makefriends]:[moti_friendsinfluence]]),1,0)))</f>
        <v>0</v>
      </c>
      <c r="Q21" s="3"/>
      <c r="R21" s="3" t="s">
        <v>93</v>
      </c>
      <c r="S21" s="3">
        <f t="shared" si="10"/>
        <v>1</v>
      </c>
      <c r="T21" s="3">
        <f t="shared" si="4"/>
        <v>1</v>
      </c>
      <c r="U21" s="3">
        <f t="shared" si="5"/>
        <v>0</v>
      </c>
      <c r="V21" s="3">
        <f t="shared" si="6"/>
        <v>1</v>
      </c>
      <c r="W21" s="3">
        <f t="shared" si="7"/>
        <v>0</v>
      </c>
      <c r="X21" s="3">
        <f t="shared" si="8"/>
        <v>0</v>
      </c>
      <c r="Y21" s="3">
        <f t="shared" si="9"/>
        <v>0</v>
      </c>
      <c r="Z21" s="3"/>
      <c r="AA21" s="3" t="s">
        <v>100</v>
      </c>
      <c r="AB21" s="3">
        <v>4</v>
      </c>
      <c r="AC21" s="3">
        <v>5</v>
      </c>
      <c r="AD21" s="3">
        <v>3</v>
      </c>
      <c r="AE21" s="3">
        <v>4</v>
      </c>
      <c r="AF21" s="3">
        <v>5</v>
      </c>
      <c r="AG21" s="3">
        <v>4</v>
      </c>
      <c r="AH21" s="3">
        <v>4</v>
      </c>
      <c r="AI21" t="s">
        <v>232</v>
      </c>
      <c r="AJ21" t="s">
        <v>232</v>
      </c>
      <c r="AK21" t="s">
        <v>232</v>
      </c>
      <c r="AL21" t="s">
        <v>232</v>
      </c>
      <c r="AM21">
        <f t="shared" si="11"/>
        <v>1</v>
      </c>
      <c r="AN21">
        <f t="shared" si="12"/>
        <v>0</v>
      </c>
      <c r="AO21">
        <f t="shared" si="13"/>
        <v>1</v>
      </c>
      <c r="AP21">
        <f t="shared" si="14"/>
        <v>0</v>
      </c>
      <c r="AQ21">
        <f t="shared" si="15"/>
        <v>1</v>
      </c>
      <c r="AR21">
        <f t="shared" si="16"/>
        <v>0</v>
      </c>
      <c r="AS21">
        <f t="shared" si="17"/>
        <v>1</v>
      </c>
      <c r="AU21" s="3" t="s">
        <v>103</v>
      </c>
      <c r="AV21" s="3" t="s">
        <v>82</v>
      </c>
      <c r="AW21" s="3">
        <f t="shared" si="19"/>
        <v>0</v>
      </c>
      <c r="AX21" s="3">
        <f t="shared" si="20"/>
        <v>0</v>
      </c>
      <c r="AY21" s="3">
        <f t="shared" si="21"/>
        <v>1</v>
      </c>
      <c r="AZ21" s="3">
        <f t="shared" si="22"/>
        <v>1</v>
      </c>
      <c r="BA21" s="3">
        <f t="shared" si="23"/>
        <v>1</v>
      </c>
      <c r="BB21" s="3">
        <f t="shared" si="24"/>
        <v>1</v>
      </c>
      <c r="BC21" s="3" t="s">
        <v>114</v>
      </c>
      <c r="BD21" s="3" t="s">
        <v>78</v>
      </c>
    </row>
    <row r="22" spans="1:57" ht="22.5" customHeight="1" x14ac:dyDescent="0.25">
      <c r="A22" s="3">
        <v>23</v>
      </c>
      <c r="B22" s="3" t="s">
        <v>55</v>
      </c>
      <c r="C22" s="3" t="s">
        <v>47</v>
      </c>
      <c r="D22" s="3" t="s">
        <v>79</v>
      </c>
      <c r="E22" s="3" t="s">
        <v>49</v>
      </c>
      <c r="F22" s="3">
        <v>2</v>
      </c>
      <c r="G22" s="3" t="s">
        <v>50</v>
      </c>
      <c r="H22" s="3">
        <v>1</v>
      </c>
      <c r="I22" s="3" t="s">
        <v>50</v>
      </c>
      <c r="J22" s="3" t="s">
        <v>36</v>
      </c>
      <c r="K22" s="3">
        <f t="shared" si="0"/>
        <v>1</v>
      </c>
      <c r="L22" s="3">
        <f t="shared" si="1"/>
        <v>1</v>
      </c>
      <c r="M22" s="3">
        <f t="shared" si="18"/>
        <v>1</v>
      </c>
      <c r="N22" s="3">
        <f t="shared" si="2"/>
        <v>0</v>
      </c>
      <c r="O22" s="3">
        <f t="shared" si="3"/>
        <v>0</v>
      </c>
      <c r="P22" s="3">
        <f ca="1">IF($R22="","",IF(SUM(Form_Responses3[[#This Row],[moti_makefriends]:[moti_friendsinfluence]])=0,1,IF(COUNTA(textsplit(R22,","))&gt;SUM(Form_Responses3[[#This Row],[moti_makefriends]:[moti_friendsinfluence]]),1,0)))</f>
        <v>0</v>
      </c>
      <c r="Q22" s="3"/>
      <c r="R22" s="3" t="s">
        <v>93</v>
      </c>
      <c r="S22" s="3">
        <f t="shared" si="10"/>
        <v>1</v>
      </c>
      <c r="T22" s="3">
        <f t="shared" si="4"/>
        <v>0</v>
      </c>
      <c r="U22" s="3">
        <f t="shared" si="5"/>
        <v>0</v>
      </c>
      <c r="V22" s="3">
        <f t="shared" si="6"/>
        <v>0</v>
      </c>
      <c r="W22" s="3">
        <f t="shared" si="7"/>
        <v>0</v>
      </c>
      <c r="X22" s="3">
        <f t="shared" si="8"/>
        <v>0</v>
      </c>
      <c r="Y22" s="3">
        <f t="shared" si="9"/>
        <v>0</v>
      </c>
      <c r="Z22" s="3"/>
      <c r="AA22" s="3" t="s">
        <v>112</v>
      </c>
      <c r="AB22" s="3">
        <v>3</v>
      </c>
      <c r="AC22" s="3">
        <v>3</v>
      </c>
      <c r="AD22" s="3">
        <v>3</v>
      </c>
      <c r="AE22" s="3">
        <v>4</v>
      </c>
      <c r="AF22" s="3">
        <v>4</v>
      </c>
      <c r="AG22" s="3">
        <v>2</v>
      </c>
      <c r="AH22" s="3">
        <v>2</v>
      </c>
      <c r="AI22" t="s">
        <v>232</v>
      </c>
      <c r="AJ22" t="s">
        <v>232</v>
      </c>
      <c r="AK22" t="s">
        <v>232</v>
      </c>
      <c r="AL22" t="s">
        <v>232</v>
      </c>
      <c r="AM22">
        <f t="shared" si="11"/>
        <v>1</v>
      </c>
      <c r="AN22">
        <f t="shared" si="12"/>
        <v>0</v>
      </c>
      <c r="AO22">
        <f t="shared" si="13"/>
        <v>0</v>
      </c>
      <c r="AP22">
        <f t="shared" si="14"/>
        <v>0</v>
      </c>
      <c r="AQ22">
        <f t="shared" si="15"/>
        <v>1</v>
      </c>
      <c r="AR22">
        <f t="shared" si="16"/>
        <v>0</v>
      </c>
      <c r="AS22">
        <f t="shared" si="17"/>
        <v>1</v>
      </c>
      <c r="AU22" s="3" t="s">
        <v>115</v>
      </c>
      <c r="AV22" s="3" t="s">
        <v>39</v>
      </c>
      <c r="AW22" s="3">
        <f t="shared" si="19"/>
        <v>1</v>
      </c>
      <c r="AX22" s="3">
        <f t="shared" si="20"/>
        <v>0</v>
      </c>
      <c r="AY22" s="3">
        <f t="shared" si="21"/>
        <v>1</v>
      </c>
      <c r="AZ22" s="3">
        <f t="shared" si="22"/>
        <v>1</v>
      </c>
      <c r="BA22" s="3">
        <f t="shared" si="23"/>
        <v>1</v>
      </c>
      <c r="BB22" s="3">
        <f t="shared" si="24"/>
        <v>0</v>
      </c>
      <c r="BC22" s="3" t="s">
        <v>116</v>
      </c>
      <c r="BD22" s="3" t="s">
        <v>64</v>
      </c>
    </row>
    <row r="23" spans="1:57" ht="22.5" customHeight="1" x14ac:dyDescent="0.25">
      <c r="A23" s="3">
        <v>22</v>
      </c>
      <c r="B23" s="3" t="s">
        <v>55</v>
      </c>
      <c r="C23" s="3" t="s">
        <v>47</v>
      </c>
      <c r="D23" s="3" t="s">
        <v>48</v>
      </c>
      <c r="E23" s="3" t="s">
        <v>49</v>
      </c>
      <c r="F23" s="3" t="s">
        <v>57</v>
      </c>
      <c r="G23" s="3" t="s">
        <v>35</v>
      </c>
      <c r="H23" s="3">
        <v>0</v>
      </c>
      <c r="I23" s="3">
        <v>0</v>
      </c>
      <c r="J23" s="3" t="s">
        <v>51</v>
      </c>
      <c r="K23" s="3">
        <f t="shared" si="0"/>
        <v>1</v>
      </c>
      <c r="L23" s="3">
        <f t="shared" si="1"/>
        <v>1</v>
      </c>
      <c r="M23" s="3">
        <f t="shared" si="18"/>
        <v>1</v>
      </c>
      <c r="N23" s="3">
        <f t="shared" si="2"/>
        <v>1</v>
      </c>
      <c r="O23" s="3">
        <f t="shared" si="3"/>
        <v>1</v>
      </c>
      <c r="P23" s="3">
        <f ca="1">IF($R23="","",IF(SUM(Form_Responses3[[#This Row],[moti_makefriends]:[moti_friendsinfluence]])=0,1,IF(COUNTA(textsplit(R23,","))&gt;SUM(Form_Responses3[[#This Row],[moti_makefriends]:[moti_friendsinfluence]]),1,0)))</f>
        <v>0</v>
      </c>
      <c r="Q23" s="3"/>
      <c r="R23" s="3" t="s">
        <v>52</v>
      </c>
      <c r="S23" s="3">
        <f t="shared" si="10"/>
        <v>1</v>
      </c>
      <c r="T23" s="3">
        <f t="shared" si="4"/>
        <v>1</v>
      </c>
      <c r="U23" s="3">
        <f t="shared" si="5"/>
        <v>0</v>
      </c>
      <c r="V23" s="3">
        <f t="shared" si="6"/>
        <v>0</v>
      </c>
      <c r="W23" s="3">
        <f t="shared" si="7"/>
        <v>1</v>
      </c>
      <c r="X23" s="3">
        <f t="shared" si="8"/>
        <v>0</v>
      </c>
      <c r="Y23" s="3">
        <f t="shared" si="9"/>
        <v>1</v>
      </c>
      <c r="Z23" s="3"/>
      <c r="AA23" s="3" t="s">
        <v>117</v>
      </c>
      <c r="AB23" s="3">
        <v>4</v>
      </c>
      <c r="AC23" s="3">
        <v>4</v>
      </c>
      <c r="AD23" s="3">
        <v>4</v>
      </c>
      <c r="AE23" s="3">
        <v>4</v>
      </c>
      <c r="AF23" s="3">
        <v>4</v>
      </c>
      <c r="AG23" s="3">
        <v>3</v>
      </c>
      <c r="AH23" s="3">
        <v>3</v>
      </c>
      <c r="AI23" t="s">
        <v>232</v>
      </c>
      <c r="AJ23" t="s">
        <v>232</v>
      </c>
      <c r="AK23" t="s">
        <v>232</v>
      </c>
      <c r="AL23" t="s">
        <v>232</v>
      </c>
      <c r="AM23">
        <f t="shared" si="11"/>
        <v>0</v>
      </c>
      <c r="AN23">
        <f t="shared" si="12"/>
        <v>1</v>
      </c>
      <c r="AO23">
        <f t="shared" si="13"/>
        <v>1</v>
      </c>
      <c r="AP23">
        <f t="shared" si="14"/>
        <v>1</v>
      </c>
      <c r="AQ23">
        <f t="shared" si="15"/>
        <v>1</v>
      </c>
      <c r="AR23">
        <f t="shared" si="16"/>
        <v>1</v>
      </c>
      <c r="AS23">
        <f t="shared" si="17"/>
        <v>1</v>
      </c>
      <c r="AU23" s="3" t="s">
        <v>118</v>
      </c>
      <c r="AV23" s="3" t="s">
        <v>43</v>
      </c>
      <c r="AW23" s="3" t="s">
        <v>232</v>
      </c>
      <c r="AX23" s="3" t="s">
        <v>232</v>
      </c>
      <c r="AY23" s="3" t="s">
        <v>232</v>
      </c>
      <c r="AZ23" s="3" t="s">
        <v>232</v>
      </c>
      <c r="BA23" s="3" t="s">
        <v>232</v>
      </c>
      <c r="BB23" s="3" t="s">
        <v>232</v>
      </c>
      <c r="BC23" s="3" t="s">
        <v>106</v>
      </c>
      <c r="BD23" s="3" t="s">
        <v>64</v>
      </c>
      <c r="BE23" s="3">
        <v>4</v>
      </c>
    </row>
    <row r="24" spans="1:57" ht="22.5" customHeight="1" x14ac:dyDescent="0.25">
      <c r="A24" s="3">
        <v>22</v>
      </c>
      <c r="B24" s="3" t="s">
        <v>31</v>
      </c>
      <c r="C24" s="3" t="s">
        <v>32</v>
      </c>
      <c r="D24" s="3" t="s">
        <v>33</v>
      </c>
      <c r="E24" s="3" t="s">
        <v>49</v>
      </c>
      <c r="F24" s="3">
        <v>1</v>
      </c>
      <c r="G24" s="3" t="s">
        <v>58</v>
      </c>
      <c r="H24" s="3">
        <v>0</v>
      </c>
      <c r="I24" s="3" t="s">
        <v>50</v>
      </c>
      <c r="J24" s="3" t="s">
        <v>51</v>
      </c>
      <c r="K24" s="3">
        <f t="shared" si="0"/>
        <v>0</v>
      </c>
      <c r="L24" s="3">
        <f t="shared" si="1"/>
        <v>1</v>
      </c>
      <c r="M24" s="3">
        <f t="shared" si="18"/>
        <v>1</v>
      </c>
      <c r="N24" s="3">
        <f t="shared" si="2"/>
        <v>0</v>
      </c>
      <c r="O24" s="3">
        <f t="shared" si="3"/>
        <v>0</v>
      </c>
      <c r="P24" s="3">
        <f ca="1">IF($R24="","",IF(SUM(Form_Responses3[[#This Row],[moti_makefriends]:[moti_friendsinfluence]])=0,1,IF(COUNTA(textsplit(R24,","))&gt;SUM(Form_Responses3[[#This Row],[moti_makefriends]:[moti_friendsinfluence]]),1,0)))</f>
        <v>0</v>
      </c>
      <c r="Q24" s="3"/>
      <c r="R24" s="3" t="s">
        <v>99</v>
      </c>
      <c r="S24" s="3">
        <f t="shared" si="10"/>
        <v>1</v>
      </c>
      <c r="T24" s="3">
        <f t="shared" si="4"/>
        <v>0</v>
      </c>
      <c r="U24" s="3">
        <f t="shared" si="5"/>
        <v>0</v>
      </c>
      <c r="V24" s="3">
        <f t="shared" si="6"/>
        <v>1</v>
      </c>
      <c r="W24" s="3">
        <f t="shared" si="7"/>
        <v>1</v>
      </c>
      <c r="X24" s="3">
        <f t="shared" si="8"/>
        <v>1</v>
      </c>
      <c r="Y24" s="3">
        <f t="shared" si="9"/>
        <v>1</v>
      </c>
      <c r="Z24" s="3"/>
      <c r="AA24" s="3" t="s">
        <v>119</v>
      </c>
      <c r="AB24" s="3">
        <v>5</v>
      </c>
      <c r="AC24" s="3">
        <v>5</v>
      </c>
      <c r="AD24" s="3">
        <v>3</v>
      </c>
      <c r="AE24" s="3">
        <v>4</v>
      </c>
      <c r="AF24" s="3">
        <v>3</v>
      </c>
      <c r="AG24" s="3">
        <v>3</v>
      </c>
      <c r="AH24" s="3">
        <v>3</v>
      </c>
      <c r="AI24" t="s">
        <v>232</v>
      </c>
      <c r="AJ24" t="s">
        <v>232</v>
      </c>
      <c r="AK24" t="s">
        <v>232</v>
      </c>
      <c r="AL24" t="s">
        <v>232</v>
      </c>
      <c r="AM24">
        <f t="shared" si="11"/>
        <v>0</v>
      </c>
      <c r="AN24">
        <f t="shared" si="12"/>
        <v>1</v>
      </c>
      <c r="AO24">
        <f t="shared" si="13"/>
        <v>0</v>
      </c>
      <c r="AP24">
        <f t="shared" si="14"/>
        <v>0</v>
      </c>
      <c r="AQ24">
        <f t="shared" si="15"/>
        <v>1</v>
      </c>
      <c r="AR24">
        <f t="shared" si="16"/>
        <v>0</v>
      </c>
      <c r="AS24">
        <f t="shared" si="17"/>
        <v>1</v>
      </c>
      <c r="AU24" s="3" t="s">
        <v>120</v>
      </c>
      <c r="AV24" s="3" t="s">
        <v>39</v>
      </c>
      <c r="AW24" s="3">
        <f t="shared" si="19"/>
        <v>0</v>
      </c>
      <c r="AX24" s="3">
        <f t="shared" si="20"/>
        <v>0</v>
      </c>
      <c r="AY24" s="3">
        <f t="shared" si="21"/>
        <v>1</v>
      </c>
      <c r="AZ24" s="3">
        <f t="shared" si="22"/>
        <v>0</v>
      </c>
      <c r="BA24" s="3">
        <f t="shared" si="23"/>
        <v>0</v>
      </c>
      <c r="BB24" s="3">
        <f t="shared" si="24"/>
        <v>1</v>
      </c>
      <c r="BC24" s="3" t="s">
        <v>121</v>
      </c>
      <c r="BD24" s="3" t="s">
        <v>45</v>
      </c>
      <c r="BE24" s="3">
        <v>1</v>
      </c>
    </row>
    <row r="25" spans="1:57" ht="22.5" customHeight="1" x14ac:dyDescent="0.25">
      <c r="A25" s="3">
        <v>23</v>
      </c>
      <c r="B25" s="3" t="s">
        <v>55</v>
      </c>
      <c r="C25" s="3" t="s">
        <v>47</v>
      </c>
      <c r="D25" s="3" t="s">
        <v>48</v>
      </c>
      <c r="E25" s="3" t="s">
        <v>34</v>
      </c>
      <c r="F25" s="3">
        <v>1</v>
      </c>
      <c r="G25" s="3" t="s">
        <v>50</v>
      </c>
      <c r="H25" s="3">
        <v>0</v>
      </c>
      <c r="I25" s="3" t="s">
        <v>50</v>
      </c>
      <c r="J25" s="3" t="s">
        <v>36</v>
      </c>
      <c r="K25" s="3">
        <f t="shared" si="0"/>
        <v>0</v>
      </c>
      <c r="L25" s="3">
        <f t="shared" si="1"/>
        <v>1</v>
      </c>
      <c r="M25" s="3">
        <f t="shared" si="18"/>
        <v>0</v>
      </c>
      <c r="N25" s="3">
        <f t="shared" si="2"/>
        <v>1</v>
      </c>
      <c r="O25" s="3">
        <f t="shared" si="3"/>
        <v>0</v>
      </c>
      <c r="P25" s="3">
        <f ca="1">IF($R25="","",IF(SUM(Form_Responses3[[#This Row],[moti_makefriends]:[moti_friendsinfluence]])=0,1,IF(COUNTA(textsplit(R25,","))&gt;SUM(Form_Responses3[[#This Row],[moti_makefriends]:[moti_friendsinfluence]]),1,0)))</f>
        <v>0</v>
      </c>
      <c r="Q25" s="3"/>
      <c r="R25" s="3" t="s">
        <v>122</v>
      </c>
      <c r="S25" s="3">
        <f t="shared" si="10"/>
        <v>1</v>
      </c>
      <c r="T25" s="3">
        <f t="shared" si="4"/>
        <v>1</v>
      </c>
      <c r="U25" s="3">
        <f t="shared" si="5"/>
        <v>0</v>
      </c>
      <c r="V25" s="3">
        <f t="shared" si="6"/>
        <v>0</v>
      </c>
      <c r="W25" s="3">
        <f t="shared" si="7"/>
        <v>0</v>
      </c>
      <c r="X25" s="3">
        <f t="shared" si="8"/>
        <v>0</v>
      </c>
      <c r="Y25" s="3">
        <f t="shared" si="9"/>
        <v>0</v>
      </c>
      <c r="Z25" s="3"/>
      <c r="AA25" s="3" t="s">
        <v>70</v>
      </c>
      <c r="AB25" s="3">
        <v>4</v>
      </c>
      <c r="AC25" s="3">
        <v>5</v>
      </c>
      <c r="AD25" s="3">
        <v>4</v>
      </c>
      <c r="AE25" s="3">
        <v>3</v>
      </c>
      <c r="AF25" s="3">
        <v>3</v>
      </c>
      <c r="AG25" s="3">
        <v>5</v>
      </c>
      <c r="AH25" s="3">
        <v>5</v>
      </c>
      <c r="AI25" s="3" t="s">
        <v>43</v>
      </c>
      <c r="AJ25" s="3" t="s">
        <v>40</v>
      </c>
      <c r="AK25" s="3" t="s">
        <v>41</v>
      </c>
      <c r="AL25" s="3" t="s">
        <v>41</v>
      </c>
      <c r="AM25" s="3">
        <f t="shared" si="11"/>
        <v>0</v>
      </c>
      <c r="AN25" s="3">
        <f t="shared" si="12"/>
        <v>1</v>
      </c>
      <c r="AO25" s="3">
        <f t="shared" si="13"/>
        <v>0</v>
      </c>
      <c r="AP25" s="3">
        <f t="shared" si="14"/>
        <v>0</v>
      </c>
      <c r="AQ25" s="3">
        <f t="shared" si="15"/>
        <v>1</v>
      </c>
      <c r="AR25" s="3">
        <f t="shared" si="16"/>
        <v>0</v>
      </c>
      <c r="AS25" s="3">
        <f t="shared" si="17"/>
        <v>0</v>
      </c>
      <c r="AT25" s="3"/>
      <c r="AU25" s="3" t="s">
        <v>123</v>
      </c>
      <c r="AV25" s="3" t="s">
        <v>43</v>
      </c>
      <c r="AW25" s="3" t="s">
        <v>232</v>
      </c>
      <c r="AX25" s="3" t="s">
        <v>232</v>
      </c>
      <c r="AY25" s="3" t="s">
        <v>232</v>
      </c>
      <c r="AZ25" s="3" t="s">
        <v>232</v>
      </c>
      <c r="BA25" s="3" t="s">
        <v>232</v>
      </c>
      <c r="BB25" s="3" t="s">
        <v>232</v>
      </c>
      <c r="BD25" s="3" t="s">
        <v>45</v>
      </c>
      <c r="BE25" s="3">
        <v>4</v>
      </c>
    </row>
    <row r="26" spans="1:57" ht="22.5" customHeight="1" x14ac:dyDescent="0.25">
      <c r="A26" s="3">
        <v>23</v>
      </c>
      <c r="B26" s="3" t="s">
        <v>31</v>
      </c>
      <c r="C26" s="3" t="s">
        <v>124</v>
      </c>
      <c r="D26" s="3" t="s">
        <v>33</v>
      </c>
      <c r="E26" s="3" t="s">
        <v>49</v>
      </c>
      <c r="F26" s="3" t="s">
        <v>57</v>
      </c>
      <c r="G26" s="3" t="s">
        <v>50</v>
      </c>
      <c r="H26" s="3">
        <v>0</v>
      </c>
      <c r="I26" s="3">
        <v>0</v>
      </c>
      <c r="J26" s="3" t="s">
        <v>51</v>
      </c>
      <c r="K26" s="3">
        <f t="shared" si="0"/>
        <v>1</v>
      </c>
      <c r="L26" s="3">
        <f t="shared" si="1"/>
        <v>1</v>
      </c>
      <c r="M26" s="3">
        <f t="shared" si="18"/>
        <v>1</v>
      </c>
      <c r="N26" s="3">
        <f t="shared" si="2"/>
        <v>0</v>
      </c>
      <c r="O26" s="3">
        <f t="shared" si="3"/>
        <v>0</v>
      </c>
      <c r="P26" s="3">
        <f ca="1">IF($R26="","",IF(SUM(Form_Responses3[[#This Row],[moti_makefriends]:[moti_friendsinfluence]])=0,1,IF(COUNTA(textsplit(R26,","))&gt;SUM(Form_Responses3[[#This Row],[moti_makefriends]:[moti_friendsinfluence]]),1,0)))</f>
        <v>0</v>
      </c>
      <c r="Q26" s="3"/>
      <c r="R26" s="3" t="s">
        <v>93</v>
      </c>
      <c r="S26" s="3">
        <f t="shared" si="10"/>
        <v>1</v>
      </c>
      <c r="T26" s="3">
        <f t="shared" si="4"/>
        <v>1</v>
      </c>
      <c r="U26" s="3">
        <f t="shared" si="5"/>
        <v>0</v>
      </c>
      <c r="V26" s="3">
        <f t="shared" si="6"/>
        <v>0</v>
      </c>
      <c r="W26" s="3">
        <f t="shared" si="7"/>
        <v>1</v>
      </c>
      <c r="X26" s="3">
        <f t="shared" si="8"/>
        <v>0</v>
      </c>
      <c r="Y26" s="3">
        <f t="shared" si="9"/>
        <v>0</v>
      </c>
      <c r="Z26" s="3"/>
      <c r="AA26" s="3" t="s">
        <v>60</v>
      </c>
      <c r="AB26" s="3">
        <v>3</v>
      </c>
      <c r="AC26" s="3">
        <v>4</v>
      </c>
      <c r="AD26" s="3">
        <v>4</v>
      </c>
      <c r="AE26" s="3">
        <v>4</v>
      </c>
      <c r="AF26" s="3">
        <v>4</v>
      </c>
      <c r="AG26" s="3">
        <v>4</v>
      </c>
      <c r="AH26" s="3">
        <v>4</v>
      </c>
      <c r="AI26" t="s">
        <v>232</v>
      </c>
      <c r="AJ26" t="s">
        <v>232</v>
      </c>
      <c r="AK26" t="s">
        <v>232</v>
      </c>
      <c r="AL26" t="s">
        <v>232</v>
      </c>
      <c r="AM26">
        <f t="shared" si="11"/>
        <v>1</v>
      </c>
      <c r="AN26">
        <f t="shared" si="12"/>
        <v>1</v>
      </c>
      <c r="AO26">
        <f t="shared" si="13"/>
        <v>0</v>
      </c>
      <c r="AP26">
        <f t="shared" si="14"/>
        <v>0</v>
      </c>
      <c r="AQ26">
        <f t="shared" si="15"/>
        <v>1</v>
      </c>
      <c r="AR26">
        <f t="shared" si="16"/>
        <v>0</v>
      </c>
      <c r="AS26">
        <f t="shared" si="17"/>
        <v>1</v>
      </c>
      <c r="AU26" s="3" t="s">
        <v>125</v>
      </c>
      <c r="AV26" s="3" t="s">
        <v>43</v>
      </c>
      <c r="AW26" s="3" t="s">
        <v>232</v>
      </c>
      <c r="AX26" s="3" t="s">
        <v>232</v>
      </c>
      <c r="AY26" s="3" t="s">
        <v>232</v>
      </c>
      <c r="AZ26" s="3" t="s">
        <v>232</v>
      </c>
      <c r="BA26" s="3" t="s">
        <v>232</v>
      </c>
      <c r="BB26" s="3" t="s">
        <v>232</v>
      </c>
      <c r="BC26" s="3" t="s">
        <v>126</v>
      </c>
      <c r="BD26" s="3" t="s">
        <v>64</v>
      </c>
      <c r="BE26" s="3">
        <v>4</v>
      </c>
    </row>
    <row r="27" spans="1:57" ht="22.5" customHeight="1" x14ac:dyDescent="0.25">
      <c r="A27" s="3">
        <v>22</v>
      </c>
      <c r="B27" s="3" t="s">
        <v>55</v>
      </c>
      <c r="C27" s="3" t="s">
        <v>32</v>
      </c>
      <c r="D27" s="3" t="s">
        <v>79</v>
      </c>
      <c r="E27" s="3" t="s">
        <v>49</v>
      </c>
      <c r="F27" s="3">
        <v>2</v>
      </c>
      <c r="G27" s="3" t="s">
        <v>50</v>
      </c>
      <c r="H27" s="3">
        <v>0</v>
      </c>
      <c r="I27" s="3">
        <v>0</v>
      </c>
      <c r="J27" s="3" t="s">
        <v>51</v>
      </c>
      <c r="K27" s="3">
        <f t="shared" si="0"/>
        <v>0</v>
      </c>
      <c r="L27" s="3">
        <f t="shared" si="1"/>
        <v>0</v>
      </c>
      <c r="M27" s="3">
        <f t="shared" si="18"/>
        <v>1</v>
      </c>
      <c r="N27" s="3">
        <f t="shared" si="2"/>
        <v>0</v>
      </c>
      <c r="O27" s="3">
        <f t="shared" si="3"/>
        <v>1</v>
      </c>
      <c r="P27" s="3">
        <f ca="1">IF($R27="","",IF(SUM(Form_Responses3[[#This Row],[moti_makefriends]:[moti_friendsinfluence]])=0,1,IF(COUNTA(textsplit(R27,","))&gt;SUM(Form_Responses3[[#This Row],[moti_makefriends]:[moti_friendsinfluence]]),1,0)))</f>
        <v>0</v>
      </c>
      <c r="Q27" s="3"/>
      <c r="R27" s="3" t="s">
        <v>37</v>
      </c>
      <c r="S27" s="3">
        <f t="shared" si="10"/>
        <v>0</v>
      </c>
      <c r="T27" s="3">
        <f t="shared" si="4"/>
        <v>0</v>
      </c>
      <c r="U27" s="3">
        <f t="shared" si="5"/>
        <v>0</v>
      </c>
      <c r="V27" s="3">
        <f t="shared" si="6"/>
        <v>1</v>
      </c>
      <c r="W27" s="3">
        <f t="shared" si="7"/>
        <v>0</v>
      </c>
      <c r="X27" s="3">
        <f t="shared" si="8"/>
        <v>0</v>
      </c>
      <c r="Y27" s="3">
        <f t="shared" si="9"/>
        <v>0</v>
      </c>
      <c r="Z27" s="3"/>
      <c r="AA27" s="3" t="s">
        <v>127</v>
      </c>
      <c r="AB27" s="3">
        <v>5</v>
      </c>
      <c r="AC27" s="3">
        <v>5</v>
      </c>
      <c r="AD27" s="3">
        <v>5</v>
      </c>
      <c r="AE27" s="3">
        <v>3</v>
      </c>
      <c r="AF27" s="3">
        <v>5</v>
      </c>
      <c r="AG27" s="3">
        <v>5</v>
      </c>
      <c r="AH27" s="3">
        <v>5</v>
      </c>
      <c r="AI27" t="s">
        <v>232</v>
      </c>
      <c r="AJ27" t="s">
        <v>232</v>
      </c>
      <c r="AK27" t="s">
        <v>232</v>
      </c>
      <c r="AL27" t="s">
        <v>232</v>
      </c>
      <c r="AM27">
        <f t="shared" si="11"/>
        <v>1</v>
      </c>
      <c r="AN27">
        <f t="shared" si="12"/>
        <v>1</v>
      </c>
      <c r="AO27">
        <f t="shared" si="13"/>
        <v>0</v>
      </c>
      <c r="AP27">
        <f t="shared" si="14"/>
        <v>1</v>
      </c>
      <c r="AQ27">
        <f t="shared" si="15"/>
        <v>1</v>
      </c>
      <c r="AR27">
        <f t="shared" si="16"/>
        <v>0</v>
      </c>
      <c r="AS27">
        <f t="shared" si="17"/>
        <v>1</v>
      </c>
      <c r="AU27" s="3" t="s">
        <v>128</v>
      </c>
      <c r="AV27" s="3" t="s">
        <v>43</v>
      </c>
      <c r="AW27" s="3" t="s">
        <v>232</v>
      </c>
      <c r="AX27" s="3" t="s">
        <v>232</v>
      </c>
      <c r="AY27" s="3" t="s">
        <v>232</v>
      </c>
      <c r="AZ27" s="3" t="s">
        <v>232</v>
      </c>
      <c r="BA27" s="3" t="s">
        <v>232</v>
      </c>
      <c r="BB27" s="3" t="s">
        <v>232</v>
      </c>
      <c r="BC27" s="3" t="s">
        <v>106</v>
      </c>
      <c r="BD27" s="3" t="s">
        <v>45</v>
      </c>
    </row>
    <row r="28" spans="1:57" ht="22.5" customHeight="1" x14ac:dyDescent="0.25">
      <c r="A28" s="3">
        <v>22</v>
      </c>
      <c r="B28" s="3" t="s">
        <v>31</v>
      </c>
      <c r="C28" s="3" t="s">
        <v>32</v>
      </c>
      <c r="D28" s="3" t="s">
        <v>79</v>
      </c>
      <c r="E28" s="3" t="s">
        <v>49</v>
      </c>
      <c r="F28" s="3">
        <v>1</v>
      </c>
      <c r="G28" s="3" t="s">
        <v>50</v>
      </c>
      <c r="H28" s="3">
        <v>0</v>
      </c>
      <c r="I28" s="3" t="s">
        <v>35</v>
      </c>
      <c r="J28" s="3" t="s">
        <v>36</v>
      </c>
      <c r="K28" s="3">
        <f t="shared" si="0"/>
        <v>1</v>
      </c>
      <c r="L28" s="3">
        <f t="shared" si="1"/>
        <v>1</v>
      </c>
      <c r="M28" s="3">
        <f t="shared" si="18"/>
        <v>1</v>
      </c>
      <c r="N28" s="3">
        <f t="shared" si="2"/>
        <v>0</v>
      </c>
      <c r="O28" s="3">
        <f t="shared" si="3"/>
        <v>1</v>
      </c>
      <c r="P28" s="3">
        <f ca="1">IF($R28="","",IF(SUM(Form_Responses3[[#This Row],[moti_makefriends]:[moti_friendsinfluence]])=0,1,IF(COUNTA(textsplit(R28,","))&gt;SUM(Form_Responses3[[#This Row],[moti_makefriends]:[moti_friendsinfluence]]),1,0)))</f>
        <v>0</v>
      </c>
      <c r="Q28" s="3"/>
      <c r="R28" s="3" t="s">
        <v>129</v>
      </c>
      <c r="S28" s="3">
        <f t="shared" si="10"/>
        <v>1</v>
      </c>
      <c r="T28" s="3">
        <f t="shared" si="4"/>
        <v>1</v>
      </c>
      <c r="U28" s="3">
        <f t="shared" si="5"/>
        <v>0</v>
      </c>
      <c r="V28" s="3">
        <f t="shared" si="6"/>
        <v>0</v>
      </c>
      <c r="W28" s="3">
        <f t="shared" si="7"/>
        <v>1</v>
      </c>
      <c r="X28" s="3">
        <f t="shared" si="8"/>
        <v>0</v>
      </c>
      <c r="Y28" s="3">
        <f t="shared" si="9"/>
        <v>0</v>
      </c>
      <c r="Z28" s="3"/>
      <c r="AA28" s="3" t="s">
        <v>60</v>
      </c>
      <c r="AB28" s="3">
        <v>5</v>
      </c>
      <c r="AC28" s="3">
        <v>5</v>
      </c>
      <c r="AD28" s="3">
        <v>3</v>
      </c>
      <c r="AE28" s="3">
        <v>5</v>
      </c>
      <c r="AF28" s="3">
        <v>5</v>
      </c>
      <c r="AG28" s="3">
        <v>5</v>
      </c>
      <c r="AH28" s="3">
        <v>5</v>
      </c>
      <c r="AI28" t="s">
        <v>232</v>
      </c>
      <c r="AJ28" t="s">
        <v>232</v>
      </c>
      <c r="AK28" t="s">
        <v>232</v>
      </c>
      <c r="AL28" t="s">
        <v>232</v>
      </c>
      <c r="AM28">
        <f t="shared" si="11"/>
        <v>1</v>
      </c>
      <c r="AN28">
        <f t="shared" si="12"/>
        <v>0</v>
      </c>
      <c r="AO28">
        <f t="shared" si="13"/>
        <v>0</v>
      </c>
      <c r="AP28">
        <f t="shared" si="14"/>
        <v>0</v>
      </c>
      <c r="AQ28">
        <f t="shared" si="15"/>
        <v>0</v>
      </c>
      <c r="AR28">
        <f t="shared" si="16"/>
        <v>0</v>
      </c>
      <c r="AS28">
        <f t="shared" si="17"/>
        <v>0</v>
      </c>
      <c r="AU28" s="3" t="s">
        <v>130</v>
      </c>
      <c r="AV28" s="3" t="s">
        <v>43</v>
      </c>
      <c r="AW28" s="3" t="s">
        <v>232</v>
      </c>
      <c r="AX28" s="3" t="s">
        <v>232</v>
      </c>
      <c r="AY28" s="3" t="s">
        <v>232</v>
      </c>
      <c r="AZ28" s="3" t="s">
        <v>232</v>
      </c>
      <c r="BA28" s="3" t="s">
        <v>232</v>
      </c>
      <c r="BB28" s="3" t="s">
        <v>232</v>
      </c>
      <c r="BD28" s="3" t="s">
        <v>64</v>
      </c>
      <c r="BE28" s="3">
        <v>4</v>
      </c>
    </row>
    <row r="29" spans="1:57" ht="22.5" customHeight="1" x14ac:dyDescent="0.25">
      <c r="A29" s="3">
        <v>23</v>
      </c>
      <c r="B29" s="3" t="s">
        <v>55</v>
      </c>
      <c r="C29" s="3" t="s">
        <v>47</v>
      </c>
      <c r="D29" s="3" t="s">
        <v>56</v>
      </c>
      <c r="E29" s="3" t="s">
        <v>34</v>
      </c>
      <c r="F29" s="3">
        <v>0</v>
      </c>
      <c r="G29" s="3">
        <v>0</v>
      </c>
      <c r="H29" s="3">
        <v>0</v>
      </c>
      <c r="I29" s="3">
        <v>0</v>
      </c>
      <c r="J29" s="3" t="s">
        <v>36</v>
      </c>
      <c r="K29" s="3">
        <f t="shared" si="0"/>
        <v>0</v>
      </c>
      <c r="L29" s="3">
        <f t="shared" si="1"/>
        <v>1</v>
      </c>
      <c r="M29" s="3">
        <f t="shared" si="18"/>
        <v>0</v>
      </c>
      <c r="N29" s="3">
        <f t="shared" si="2"/>
        <v>1</v>
      </c>
      <c r="O29" s="3">
        <f t="shared" si="3"/>
        <v>0</v>
      </c>
      <c r="P29" s="3">
        <f ca="1">IF($R29="","",IF(SUM(Form_Responses3[[#This Row],[moti_makefriends]:[moti_friendsinfluence]])=0,1,IF(COUNTA(textsplit(R29,","))&gt;SUM(Form_Responses3[[#This Row],[moti_makefriends]:[moti_friendsinfluence]]),1,0)))</f>
        <v>0</v>
      </c>
      <c r="Q29" s="3"/>
      <c r="R29" s="3" t="s">
        <v>122</v>
      </c>
      <c r="S29" s="3">
        <f t="shared" si="10"/>
        <v>0</v>
      </c>
      <c r="T29" s="3">
        <f t="shared" si="4"/>
        <v>1</v>
      </c>
      <c r="U29" s="3">
        <f t="shared" si="5"/>
        <v>0</v>
      </c>
      <c r="V29" s="3">
        <f t="shared" si="6"/>
        <v>0</v>
      </c>
      <c r="W29" s="3">
        <f t="shared" si="7"/>
        <v>0</v>
      </c>
      <c r="X29" s="3">
        <f t="shared" si="8"/>
        <v>0</v>
      </c>
      <c r="Y29" s="3">
        <f t="shared" si="9"/>
        <v>0</v>
      </c>
      <c r="Z29" s="3"/>
      <c r="AA29" s="3" t="s">
        <v>66</v>
      </c>
      <c r="AB29" s="3">
        <v>4</v>
      </c>
      <c r="AC29" s="3">
        <v>2</v>
      </c>
      <c r="AD29" s="3">
        <v>1</v>
      </c>
      <c r="AE29" s="3">
        <v>1</v>
      </c>
      <c r="AF29" s="3">
        <v>5</v>
      </c>
      <c r="AG29" s="3">
        <v>1</v>
      </c>
      <c r="AH29" s="3">
        <v>1</v>
      </c>
      <c r="AI29" s="3" t="s">
        <v>39</v>
      </c>
      <c r="AJ29" s="3" t="s">
        <v>61</v>
      </c>
      <c r="AK29" s="3" t="s">
        <v>41</v>
      </c>
      <c r="AL29" s="3" t="s">
        <v>61</v>
      </c>
      <c r="AM29" s="3">
        <f t="shared" si="11"/>
        <v>0</v>
      </c>
      <c r="AN29" s="3">
        <f t="shared" si="12"/>
        <v>1</v>
      </c>
      <c r="AO29" s="3">
        <f t="shared" si="13"/>
        <v>0</v>
      </c>
      <c r="AP29" s="3">
        <f t="shared" si="14"/>
        <v>0</v>
      </c>
      <c r="AQ29" s="3">
        <f t="shared" si="15"/>
        <v>0</v>
      </c>
      <c r="AR29" s="3">
        <f t="shared" si="16"/>
        <v>1</v>
      </c>
      <c r="AS29" s="3">
        <f t="shared" si="17"/>
        <v>0</v>
      </c>
      <c r="AT29" s="3"/>
      <c r="AU29" s="3" t="s">
        <v>131</v>
      </c>
      <c r="AV29" s="3" t="s">
        <v>43</v>
      </c>
      <c r="AW29" s="3" t="s">
        <v>232</v>
      </c>
      <c r="AX29" s="3" t="s">
        <v>232</v>
      </c>
      <c r="AY29" s="3" t="s">
        <v>232</v>
      </c>
      <c r="AZ29" s="3" t="s">
        <v>232</v>
      </c>
      <c r="BA29" s="3" t="s">
        <v>232</v>
      </c>
      <c r="BB29" s="3" t="s">
        <v>232</v>
      </c>
      <c r="BD29" s="3" t="s">
        <v>45</v>
      </c>
    </row>
    <row r="30" spans="1:57" ht="22.5" customHeight="1" x14ac:dyDescent="0.25">
      <c r="A30" s="3">
        <v>23</v>
      </c>
      <c r="B30" s="3" t="s">
        <v>55</v>
      </c>
      <c r="C30" s="3" t="s">
        <v>47</v>
      </c>
      <c r="D30" s="3" t="s">
        <v>56</v>
      </c>
      <c r="E30" s="3" t="s">
        <v>49</v>
      </c>
      <c r="F30" s="3">
        <v>1</v>
      </c>
      <c r="G30" s="3" t="s">
        <v>50</v>
      </c>
      <c r="H30" s="3">
        <v>1</v>
      </c>
      <c r="I30" s="3" t="s">
        <v>50</v>
      </c>
      <c r="J30" s="3" t="s">
        <v>36</v>
      </c>
      <c r="K30" s="3">
        <f t="shared" si="0"/>
        <v>0</v>
      </c>
      <c r="L30" s="3">
        <f t="shared" si="1"/>
        <v>0</v>
      </c>
      <c r="M30" s="3">
        <f t="shared" si="18"/>
        <v>0</v>
      </c>
      <c r="N30" s="3">
        <f t="shared" si="2"/>
        <v>1</v>
      </c>
      <c r="O30" s="3">
        <f t="shared" si="3"/>
        <v>0</v>
      </c>
      <c r="P30" s="3">
        <f ca="1">IF($R30="","",IF(SUM(Form_Responses3[[#This Row],[moti_makefriends]:[moti_friendsinfluence]])=0,1,IF(COUNTA(textsplit(R30,","))&gt;SUM(Form_Responses3[[#This Row],[moti_makefriends]:[moti_friendsinfluence]]),1,0)))</f>
        <v>0</v>
      </c>
      <c r="Q30" s="3"/>
      <c r="R30" s="3" t="s">
        <v>132</v>
      </c>
      <c r="S30" s="3">
        <f t="shared" si="10"/>
        <v>1</v>
      </c>
      <c r="T30" s="3">
        <f t="shared" si="4"/>
        <v>1</v>
      </c>
      <c r="U30" s="3">
        <f t="shared" si="5"/>
        <v>0</v>
      </c>
      <c r="V30" s="3">
        <f t="shared" si="6"/>
        <v>0</v>
      </c>
      <c r="W30" s="3">
        <f t="shared" si="7"/>
        <v>0</v>
      </c>
      <c r="X30" s="3">
        <f t="shared" si="8"/>
        <v>0</v>
      </c>
      <c r="Y30" s="3">
        <f t="shared" si="9"/>
        <v>0</v>
      </c>
      <c r="Z30" s="3"/>
      <c r="AA30" s="3" t="s">
        <v>70</v>
      </c>
      <c r="AB30" s="3">
        <v>3</v>
      </c>
      <c r="AC30" s="3">
        <v>4</v>
      </c>
      <c r="AD30" s="3">
        <v>2</v>
      </c>
      <c r="AE30" s="3">
        <v>2</v>
      </c>
      <c r="AF30" s="3">
        <v>2</v>
      </c>
      <c r="AG30" s="3">
        <v>2</v>
      </c>
      <c r="AH30" s="3">
        <v>1</v>
      </c>
      <c r="AI30" t="s">
        <v>232</v>
      </c>
      <c r="AJ30" t="s">
        <v>232</v>
      </c>
      <c r="AK30" t="s">
        <v>232</v>
      </c>
      <c r="AL30" t="s">
        <v>232</v>
      </c>
      <c r="AM30">
        <f t="shared" si="11"/>
        <v>0</v>
      </c>
      <c r="AN30">
        <f t="shared" si="12"/>
        <v>0</v>
      </c>
      <c r="AO30">
        <f t="shared" si="13"/>
        <v>1</v>
      </c>
      <c r="AP30">
        <f t="shared" si="14"/>
        <v>0</v>
      </c>
      <c r="AQ30">
        <f t="shared" si="15"/>
        <v>0</v>
      </c>
      <c r="AR30">
        <f t="shared" si="16"/>
        <v>0</v>
      </c>
      <c r="AS30">
        <f t="shared" si="17"/>
        <v>0</v>
      </c>
      <c r="AU30" s="3" t="s">
        <v>133</v>
      </c>
      <c r="AV30" s="3" t="s">
        <v>43</v>
      </c>
      <c r="AW30" s="3" t="s">
        <v>232</v>
      </c>
      <c r="AX30" s="3" t="s">
        <v>232</v>
      </c>
      <c r="AY30" s="3" t="s">
        <v>232</v>
      </c>
      <c r="AZ30" s="3" t="s">
        <v>232</v>
      </c>
      <c r="BA30" s="3" t="s">
        <v>232</v>
      </c>
      <c r="BB30" s="3" t="s">
        <v>232</v>
      </c>
      <c r="BC30" s="3" t="s">
        <v>134</v>
      </c>
      <c r="BD30" s="3" t="s">
        <v>64</v>
      </c>
      <c r="BE30" s="3">
        <v>2</v>
      </c>
    </row>
    <row r="31" spans="1:57" ht="22.5" customHeight="1" x14ac:dyDescent="0.25">
      <c r="A31" s="3">
        <v>23</v>
      </c>
      <c r="B31" s="3" t="s">
        <v>55</v>
      </c>
      <c r="C31" s="3" t="s">
        <v>124</v>
      </c>
      <c r="D31" s="3" t="s">
        <v>79</v>
      </c>
      <c r="E31" s="3" t="s">
        <v>49</v>
      </c>
      <c r="F31" s="3">
        <v>2</v>
      </c>
      <c r="G31" s="3" t="s">
        <v>50</v>
      </c>
      <c r="H31" s="3">
        <v>0</v>
      </c>
      <c r="I31" s="3">
        <v>0</v>
      </c>
      <c r="J31" s="3" t="s">
        <v>36</v>
      </c>
      <c r="K31" s="3">
        <f t="shared" si="0"/>
        <v>1</v>
      </c>
      <c r="L31" s="3">
        <f t="shared" si="1"/>
        <v>1</v>
      </c>
      <c r="M31" s="3">
        <f t="shared" si="18"/>
        <v>0</v>
      </c>
      <c r="N31" s="3">
        <f t="shared" si="2"/>
        <v>0</v>
      </c>
      <c r="O31" s="3">
        <f t="shared" si="3"/>
        <v>0</v>
      </c>
      <c r="P31" s="3">
        <f ca="1">IF($R31="","",IF(SUM(Form_Responses3[[#This Row],[moti_makefriends]:[moti_friendsinfluence]])=0,1,IF(COUNTA(textsplit(R31,","))&gt;SUM(Form_Responses3[[#This Row],[moti_makefriends]:[moti_friendsinfluence]]),1,0)))</f>
        <v>0</v>
      </c>
      <c r="Q31" s="3"/>
      <c r="R31" s="3" t="s">
        <v>65</v>
      </c>
      <c r="S31" s="3">
        <f t="shared" si="10"/>
        <v>1</v>
      </c>
      <c r="T31" s="3">
        <f t="shared" si="4"/>
        <v>1</v>
      </c>
      <c r="U31" s="3">
        <f t="shared" si="5"/>
        <v>0</v>
      </c>
      <c r="V31" s="3">
        <f t="shared" si="6"/>
        <v>0</v>
      </c>
      <c r="W31" s="3">
        <f t="shared" si="7"/>
        <v>0</v>
      </c>
      <c r="X31" s="3">
        <f t="shared" si="8"/>
        <v>0</v>
      </c>
      <c r="Y31" s="3">
        <f t="shared" si="9"/>
        <v>0</v>
      </c>
      <c r="Z31" s="3"/>
      <c r="AA31" s="3" t="s">
        <v>135</v>
      </c>
      <c r="AB31" s="3">
        <v>4</v>
      </c>
      <c r="AC31" s="3">
        <v>4</v>
      </c>
      <c r="AD31" s="3">
        <v>2</v>
      </c>
      <c r="AE31" s="3">
        <v>3</v>
      </c>
      <c r="AF31" s="3">
        <v>3</v>
      </c>
      <c r="AG31" s="3">
        <v>4</v>
      </c>
      <c r="AH31" s="3">
        <v>4</v>
      </c>
      <c r="AI31" t="s">
        <v>232</v>
      </c>
      <c r="AJ31" t="s">
        <v>232</v>
      </c>
      <c r="AK31" t="s">
        <v>232</v>
      </c>
      <c r="AL31" t="s">
        <v>232</v>
      </c>
      <c r="AM31">
        <f t="shared" si="11"/>
        <v>0</v>
      </c>
      <c r="AN31">
        <f t="shared" si="12"/>
        <v>0</v>
      </c>
      <c r="AO31">
        <f t="shared" si="13"/>
        <v>1</v>
      </c>
      <c r="AP31">
        <f t="shared" si="14"/>
        <v>0</v>
      </c>
      <c r="AQ31">
        <f t="shared" si="15"/>
        <v>1</v>
      </c>
      <c r="AR31">
        <f t="shared" si="16"/>
        <v>1</v>
      </c>
      <c r="AS31">
        <f t="shared" si="17"/>
        <v>0</v>
      </c>
      <c r="AU31" s="3" t="s">
        <v>136</v>
      </c>
      <c r="AV31" s="3" t="s">
        <v>43</v>
      </c>
      <c r="AW31" s="3" t="s">
        <v>232</v>
      </c>
      <c r="AX31" s="3" t="s">
        <v>232</v>
      </c>
      <c r="AY31" s="3" t="s">
        <v>232</v>
      </c>
      <c r="AZ31" s="3" t="s">
        <v>232</v>
      </c>
      <c r="BA31" s="3" t="s">
        <v>232</v>
      </c>
      <c r="BB31" s="3" t="s">
        <v>232</v>
      </c>
      <c r="BD31" s="3" t="s">
        <v>64</v>
      </c>
      <c r="BE31" s="3">
        <v>3</v>
      </c>
    </row>
    <row r="32" spans="1:57" ht="22.5" customHeight="1" x14ac:dyDescent="0.25">
      <c r="A32" s="3">
        <v>23</v>
      </c>
      <c r="B32" s="3" t="s">
        <v>55</v>
      </c>
      <c r="C32" s="3" t="s">
        <v>124</v>
      </c>
      <c r="D32" s="3" t="s">
        <v>79</v>
      </c>
      <c r="E32" s="3" t="s">
        <v>49</v>
      </c>
      <c r="F32" s="3">
        <v>1</v>
      </c>
      <c r="G32" s="3" t="s">
        <v>35</v>
      </c>
      <c r="H32" s="3">
        <v>0</v>
      </c>
      <c r="I32" s="3">
        <v>0</v>
      </c>
      <c r="J32" s="3" t="s">
        <v>36</v>
      </c>
      <c r="K32" s="3">
        <f t="shared" si="0"/>
        <v>1</v>
      </c>
      <c r="L32" s="3">
        <f t="shared" si="1"/>
        <v>0</v>
      </c>
      <c r="M32" s="3">
        <f t="shared" si="18"/>
        <v>1</v>
      </c>
      <c r="N32" s="3">
        <f t="shared" si="2"/>
        <v>0</v>
      </c>
      <c r="O32" s="3">
        <f t="shared" si="3"/>
        <v>0</v>
      </c>
      <c r="P32" s="3">
        <f ca="1">IF($R32="","",IF(SUM(Form_Responses3[[#This Row],[moti_makefriends]:[moti_friendsinfluence]])=0,1,IF(COUNTA(textsplit(R32,","))&gt;SUM(Form_Responses3[[#This Row],[moti_makefriends]:[moti_friendsinfluence]]),1,0)))</f>
        <v>0</v>
      </c>
      <c r="Q32" s="3"/>
      <c r="R32" s="3" t="s">
        <v>137</v>
      </c>
      <c r="S32" s="3">
        <f t="shared" si="10"/>
        <v>0</v>
      </c>
      <c r="T32" s="3">
        <f t="shared" si="4"/>
        <v>1</v>
      </c>
      <c r="U32" s="3">
        <f t="shared" si="5"/>
        <v>0</v>
      </c>
      <c r="V32" s="3">
        <f t="shared" si="6"/>
        <v>0</v>
      </c>
      <c r="W32" s="3">
        <f t="shared" si="7"/>
        <v>0</v>
      </c>
      <c r="X32" s="3">
        <f t="shared" si="8"/>
        <v>1</v>
      </c>
      <c r="Y32" s="3">
        <f t="shared" si="9"/>
        <v>0</v>
      </c>
      <c r="Z32" s="3"/>
      <c r="AA32" s="3" t="s">
        <v>138</v>
      </c>
      <c r="AB32" s="3">
        <v>3</v>
      </c>
      <c r="AC32" s="3">
        <v>3</v>
      </c>
      <c r="AD32" s="3">
        <v>3</v>
      </c>
      <c r="AE32" s="3">
        <v>4</v>
      </c>
      <c r="AF32" s="3">
        <v>2</v>
      </c>
      <c r="AG32" s="3">
        <v>5</v>
      </c>
      <c r="AH32" s="3">
        <v>3</v>
      </c>
      <c r="AI32" t="s">
        <v>232</v>
      </c>
      <c r="AJ32" t="s">
        <v>232</v>
      </c>
      <c r="AK32" t="s">
        <v>232</v>
      </c>
      <c r="AL32" t="s">
        <v>232</v>
      </c>
      <c r="AM32">
        <f t="shared" si="11"/>
        <v>0</v>
      </c>
      <c r="AN32">
        <f t="shared" si="12"/>
        <v>1</v>
      </c>
      <c r="AO32">
        <f t="shared" si="13"/>
        <v>0</v>
      </c>
      <c r="AP32">
        <f t="shared" si="14"/>
        <v>0</v>
      </c>
      <c r="AQ32">
        <f t="shared" si="15"/>
        <v>1</v>
      </c>
      <c r="AR32">
        <f t="shared" si="16"/>
        <v>1</v>
      </c>
      <c r="AS32">
        <f t="shared" si="17"/>
        <v>1</v>
      </c>
      <c r="AU32" s="3" t="s">
        <v>139</v>
      </c>
      <c r="AV32" s="3" t="s">
        <v>82</v>
      </c>
      <c r="AW32" s="3">
        <f t="shared" si="19"/>
        <v>0</v>
      </c>
      <c r="AX32" s="3">
        <f t="shared" si="20"/>
        <v>1</v>
      </c>
      <c r="AY32" s="3">
        <f t="shared" si="21"/>
        <v>0</v>
      </c>
      <c r="AZ32" s="3">
        <f t="shared" si="22"/>
        <v>0</v>
      </c>
      <c r="BA32" s="3">
        <f t="shared" si="23"/>
        <v>0</v>
      </c>
      <c r="BB32" s="3">
        <f t="shared" si="24"/>
        <v>0</v>
      </c>
      <c r="BC32" s="3" t="s">
        <v>134</v>
      </c>
      <c r="BD32" s="3" t="s">
        <v>45</v>
      </c>
    </row>
    <row r="33" spans="1:57" ht="22.5" customHeight="1" x14ac:dyDescent="0.25">
      <c r="A33" s="3">
        <v>23</v>
      </c>
      <c r="B33" s="3" t="s">
        <v>55</v>
      </c>
      <c r="C33" s="3" t="s">
        <v>47</v>
      </c>
      <c r="D33" s="3" t="s">
        <v>79</v>
      </c>
      <c r="E33" s="3" t="s">
        <v>49</v>
      </c>
      <c r="F33" s="3">
        <v>2</v>
      </c>
      <c r="G33" s="3" t="s">
        <v>50</v>
      </c>
      <c r="H33" s="3">
        <v>0</v>
      </c>
      <c r="I33" s="3">
        <v>0</v>
      </c>
      <c r="J33" s="3" t="s">
        <v>36</v>
      </c>
      <c r="K33" s="3">
        <f t="shared" si="0"/>
        <v>1</v>
      </c>
      <c r="L33" s="3">
        <f t="shared" si="1"/>
        <v>1</v>
      </c>
      <c r="M33" s="3">
        <f t="shared" si="18"/>
        <v>1</v>
      </c>
      <c r="N33" s="3">
        <f t="shared" si="2"/>
        <v>1</v>
      </c>
      <c r="O33" s="3">
        <f t="shared" si="3"/>
        <v>0</v>
      </c>
      <c r="P33" s="3">
        <f ca="1">IF($R33="","",IF(SUM(Form_Responses3[[#This Row],[moti_makefriends]:[moti_friendsinfluence]])=0,1,IF(COUNTA(textsplit(R33,","))&gt;SUM(Form_Responses3[[#This Row],[moti_makefriends]:[moti_friendsinfluence]]),1,0)))</f>
        <v>0</v>
      </c>
      <c r="Q33" s="3"/>
      <c r="R33" s="3" t="s">
        <v>140</v>
      </c>
      <c r="S33" s="3">
        <f t="shared" si="10"/>
        <v>0</v>
      </c>
      <c r="T33" s="3">
        <f t="shared" si="4"/>
        <v>0</v>
      </c>
      <c r="U33" s="3">
        <f t="shared" si="5"/>
        <v>0</v>
      </c>
      <c r="V33" s="3">
        <f t="shared" si="6"/>
        <v>0</v>
      </c>
      <c r="W33" s="3">
        <f t="shared" si="7"/>
        <v>1</v>
      </c>
      <c r="X33" s="3">
        <f t="shared" si="8"/>
        <v>0</v>
      </c>
      <c r="Y33" s="3">
        <f t="shared" si="9"/>
        <v>0</v>
      </c>
      <c r="Z33" s="3"/>
      <c r="AA33" s="3" t="s">
        <v>141</v>
      </c>
      <c r="AB33" s="3">
        <v>4</v>
      </c>
      <c r="AC33" s="3">
        <v>4</v>
      </c>
      <c r="AD33" s="3">
        <v>1</v>
      </c>
      <c r="AE33" s="3">
        <v>3</v>
      </c>
      <c r="AF33" s="3">
        <v>4</v>
      </c>
      <c r="AG33" s="3">
        <v>3</v>
      </c>
      <c r="AH33" s="3">
        <v>4</v>
      </c>
      <c r="AI33" t="s">
        <v>232</v>
      </c>
      <c r="AJ33" t="s">
        <v>232</v>
      </c>
      <c r="AK33" t="s">
        <v>232</v>
      </c>
      <c r="AL33" t="s">
        <v>232</v>
      </c>
      <c r="AM33">
        <f t="shared" si="11"/>
        <v>1</v>
      </c>
      <c r="AN33">
        <f t="shared" si="12"/>
        <v>0</v>
      </c>
      <c r="AO33">
        <f t="shared" si="13"/>
        <v>1</v>
      </c>
      <c r="AP33">
        <f t="shared" si="14"/>
        <v>1</v>
      </c>
      <c r="AQ33">
        <f t="shared" si="15"/>
        <v>1</v>
      </c>
      <c r="AR33">
        <f t="shared" si="16"/>
        <v>0</v>
      </c>
      <c r="AS33">
        <f t="shared" si="17"/>
        <v>1</v>
      </c>
      <c r="AU33" s="3" t="s">
        <v>142</v>
      </c>
      <c r="AV33" s="3" t="s">
        <v>82</v>
      </c>
      <c r="AW33" s="3">
        <f t="shared" si="19"/>
        <v>0</v>
      </c>
      <c r="AX33" s="3">
        <f t="shared" si="20"/>
        <v>1</v>
      </c>
      <c r="AY33" s="3">
        <f t="shared" si="21"/>
        <v>1</v>
      </c>
      <c r="AZ33" s="3">
        <f t="shared" si="22"/>
        <v>1</v>
      </c>
      <c r="BA33" s="3">
        <f t="shared" si="23"/>
        <v>0</v>
      </c>
      <c r="BB33" s="3">
        <f t="shared" si="24"/>
        <v>0</v>
      </c>
      <c r="BC33" s="3" t="s">
        <v>143</v>
      </c>
      <c r="BD33" s="3" t="s">
        <v>64</v>
      </c>
      <c r="BE33" s="3">
        <v>2</v>
      </c>
    </row>
    <row r="34" spans="1:57" ht="22.5" customHeight="1" x14ac:dyDescent="0.25">
      <c r="A34" s="3">
        <v>23</v>
      </c>
      <c r="B34" s="3" t="s">
        <v>55</v>
      </c>
      <c r="C34" s="3" t="s">
        <v>47</v>
      </c>
      <c r="D34" s="3" t="s">
        <v>48</v>
      </c>
      <c r="E34" s="3" t="s">
        <v>49</v>
      </c>
      <c r="F34" s="3">
        <v>2</v>
      </c>
      <c r="G34" s="3" t="s">
        <v>50</v>
      </c>
      <c r="H34" s="3">
        <v>0</v>
      </c>
      <c r="I34" s="3">
        <v>0</v>
      </c>
      <c r="J34" s="3" t="s">
        <v>51</v>
      </c>
      <c r="K34" s="3">
        <f t="shared" ref="K34:K59" si="25">IF(ISNUMBER(SEARCH("To make friends",$R34)),1,0)</f>
        <v>0</v>
      </c>
      <c r="L34" s="3">
        <f t="shared" ref="L34:L59" si="26">IF(ISNUMBER(SEARCH("To learn new skills",$R34)),1,0)</f>
        <v>1</v>
      </c>
      <c r="M34" s="3">
        <f t="shared" ref="M34:M59" si="27">IF(ISNUMBER(SEARCH("For fun",$R34)),1,0)</f>
        <v>1</v>
      </c>
      <c r="N34" s="3">
        <f t="shared" ref="N34:N59" si="28">IF(ISNUMBER(SEARCH("To improve my CV",$R34)),1,0)</f>
        <v>0</v>
      </c>
      <c r="O34" s="3">
        <f t="shared" ref="O34:O59" si="29">IF(ISNUMBER(SEARCH("My friends influence me",$R34)),1,0)</f>
        <v>0</v>
      </c>
      <c r="P34" s="3">
        <f ca="1">IF($R34="","",IF(SUM(Form_Responses3[[#This Row],[moti_makefriends]:[moti_friendsinfluence]])=0,1,IF(COUNTA(textsplit(R34,","))&gt;SUM(Form_Responses3[[#This Row],[moti_makefriends]:[moti_friendsinfluence]]),1,0)))</f>
        <v>0</v>
      </c>
      <c r="Q34" s="3"/>
      <c r="R34" s="3" t="s">
        <v>99</v>
      </c>
      <c r="S34" s="3">
        <f t="shared" ref="S34:S59" si="30">IF(ISNUMBER(SEARCH("Not enough time",$AA34)),1,0)</f>
        <v>1</v>
      </c>
      <c r="T34" s="3">
        <f t="shared" ref="T34:T59" si="31">IF(ISNUMBER(SEARCH("Academic workload",$AA34)),1,0)</f>
        <v>1</v>
      </c>
      <c r="U34" s="3">
        <f t="shared" ref="U34:U59" si="32">IF(ISNUMBER(SEARCH("Money issues",$AA34)),1,0)</f>
        <v>0</v>
      </c>
      <c r="V34" s="3">
        <f t="shared" ref="V34:V59" si="33">IF(ISNUMBER(SEARCH("Not interested",$AA34)),1,0)</f>
        <v>0</v>
      </c>
      <c r="W34" s="3">
        <f t="shared" ref="W34:W59" si="34">IF(ISNUMBER(SEARCH("Didn’t know about them",$AA34)),1,0)</f>
        <v>0</v>
      </c>
      <c r="X34" s="3">
        <f t="shared" ref="X34:X59" si="35">IF(ISNUMBER(SEARCH("Feeling shy",$AA34)),1,0)</f>
        <v>1</v>
      </c>
      <c r="Y34" s="3">
        <f t="shared" ref="Y34:Y59" si="36">IF(ISNUMBER(SEARCH("Family restrictions",$AA34)),1,0)</f>
        <v>0</v>
      </c>
      <c r="Z34" s="3"/>
      <c r="AA34" s="3" t="s">
        <v>108</v>
      </c>
      <c r="AB34" s="3">
        <v>3</v>
      </c>
      <c r="AC34" s="3">
        <v>2</v>
      </c>
      <c r="AD34" s="3">
        <v>2</v>
      </c>
      <c r="AE34" s="3">
        <v>5</v>
      </c>
      <c r="AF34" s="3">
        <v>5</v>
      </c>
      <c r="AG34" s="3">
        <v>4</v>
      </c>
      <c r="AH34" s="3">
        <v>2</v>
      </c>
      <c r="AI34" t="s">
        <v>232</v>
      </c>
      <c r="AJ34" t="s">
        <v>232</v>
      </c>
      <c r="AK34" t="s">
        <v>232</v>
      </c>
      <c r="AL34" t="s">
        <v>232</v>
      </c>
      <c r="AM34">
        <f t="shared" ref="AM34:AM59" si="37">IF(ISNUMBER(SEARCH("Sports events",$AU34)),1,0)</f>
        <v>0</v>
      </c>
      <c r="AN34">
        <f t="shared" ref="AN34:AN59" si="38">IF(ISNUMBER(SEARCH("Cultural events",$AU34)),1,0)</f>
        <v>1</v>
      </c>
      <c r="AO34">
        <f t="shared" ref="AO34:AO59" si="39">IF(ISNUMBER(SEARCH("Academic clubs",$AU34)),1,0)</f>
        <v>1</v>
      </c>
      <c r="AP34">
        <f t="shared" ref="AP34:AP59" si="40">IF(ISNUMBER(SEARCH("Music/drama",$AU34)),1,0)</f>
        <v>1</v>
      </c>
      <c r="AQ34">
        <f t="shared" ref="AQ34:AQ59" si="41">IF(ISNUMBER(SEARCH("Volunteer/community service",$AU34)),1,0)</f>
        <v>1</v>
      </c>
      <c r="AR34">
        <f t="shared" ref="AR34:AR59" si="42">IF(ISNUMBER(SEARCH("Religious/cultural societies",$AU34)),1,0)</f>
        <v>0</v>
      </c>
      <c r="AS34">
        <f t="shared" ref="AS34:AS59" si="43">IF(ISNUMBER(SEARCH("Informal gatherings with friends",$AU34)),1,0)</f>
        <v>1</v>
      </c>
      <c r="AU34" s="3" t="s">
        <v>144</v>
      </c>
      <c r="AV34" s="3" t="s">
        <v>82</v>
      </c>
      <c r="AW34" s="3">
        <f t="shared" ref="AW34:AW59" si="44">IF(ISNUMBER(SEARCH("More events",$BC34)),1,0)</f>
        <v>0</v>
      </c>
      <c r="AX34" s="3">
        <f t="shared" ref="AX34:AX59" si="45">IF(ISNUMBER(SEARCH("Better communication / advertising",$BC34)),1,0)</f>
        <v>0</v>
      </c>
      <c r="AY34" s="3">
        <f t="shared" ref="AY34:AY59" si="46">IF(ISNUMBER(SEARCH("More variety of activities",$BC34)),1,0)</f>
        <v>1</v>
      </c>
      <c r="AZ34" s="3">
        <f t="shared" ref="AZ34:AZ59" si="47">IF(ISNUMBER(SEARCH("More student-led initiatives",$BC34)),1,0)</f>
        <v>0</v>
      </c>
      <c r="BA34" s="3">
        <f t="shared" ref="BA34:BA59" si="48">IF(ISNUMBER(SEARCH("Better funding for societies",$BC34)),1,0)</f>
        <v>0</v>
      </c>
      <c r="BB34" s="3">
        <f t="shared" ref="BB34:BB59" si="49">IF(ISNUMBER(SEARCH("Improved facilities",$BC34)),1,0)</f>
        <v>0</v>
      </c>
      <c r="BC34" s="3" t="s">
        <v>106</v>
      </c>
      <c r="BD34" s="3" t="s">
        <v>45</v>
      </c>
    </row>
    <row r="35" spans="1:57" ht="22.5" customHeight="1" x14ac:dyDescent="0.25">
      <c r="A35" s="3">
        <v>22</v>
      </c>
      <c r="B35" s="3" t="s">
        <v>55</v>
      </c>
      <c r="C35" s="3" t="s">
        <v>32</v>
      </c>
      <c r="D35" s="3" t="s">
        <v>79</v>
      </c>
      <c r="E35" s="3" t="s">
        <v>49</v>
      </c>
      <c r="F35" s="3">
        <v>1</v>
      </c>
      <c r="G35" s="3" t="s">
        <v>50</v>
      </c>
      <c r="H35" s="3">
        <v>0</v>
      </c>
      <c r="I35" s="3" t="s">
        <v>50</v>
      </c>
      <c r="J35" s="3" t="s">
        <v>36</v>
      </c>
      <c r="K35" s="3">
        <f t="shared" si="25"/>
        <v>1</v>
      </c>
      <c r="L35" s="3">
        <f t="shared" si="26"/>
        <v>1</v>
      </c>
      <c r="M35" s="3">
        <f t="shared" si="27"/>
        <v>1</v>
      </c>
      <c r="N35" s="3">
        <f t="shared" si="28"/>
        <v>0</v>
      </c>
      <c r="O35" s="3">
        <f t="shared" si="29"/>
        <v>0</v>
      </c>
      <c r="P35" s="3">
        <f ca="1">IF($R35="","",IF(SUM(Form_Responses3[[#This Row],[moti_makefriends]:[moti_friendsinfluence]])=0,1,IF(COUNTA(textsplit(R35,","))&gt;SUM(Form_Responses3[[#This Row],[moti_makefriends]:[moti_friendsinfluence]]),1,0)))</f>
        <v>0</v>
      </c>
      <c r="Q35" s="3"/>
      <c r="R35" s="3" t="s">
        <v>93</v>
      </c>
      <c r="S35" s="3">
        <f t="shared" si="30"/>
        <v>0</v>
      </c>
      <c r="T35" s="3">
        <f t="shared" si="31"/>
        <v>1</v>
      </c>
      <c r="U35" s="3">
        <f t="shared" si="32"/>
        <v>0</v>
      </c>
      <c r="V35" s="3">
        <f t="shared" si="33"/>
        <v>0</v>
      </c>
      <c r="W35" s="3">
        <f t="shared" si="34"/>
        <v>0</v>
      </c>
      <c r="X35" s="3">
        <f t="shared" si="35"/>
        <v>0</v>
      </c>
      <c r="Y35" s="3">
        <f t="shared" si="36"/>
        <v>0</v>
      </c>
      <c r="Z35" s="3"/>
      <c r="AA35" s="3" t="s">
        <v>66</v>
      </c>
      <c r="AB35" s="3">
        <v>3</v>
      </c>
      <c r="AC35" s="3">
        <v>4</v>
      </c>
      <c r="AD35" s="3">
        <v>3</v>
      </c>
      <c r="AE35" s="3">
        <v>4</v>
      </c>
      <c r="AF35" s="3">
        <v>2</v>
      </c>
      <c r="AG35" s="3">
        <v>5</v>
      </c>
      <c r="AH35" s="3">
        <v>3</v>
      </c>
      <c r="AI35" t="s">
        <v>232</v>
      </c>
      <c r="AJ35" t="s">
        <v>232</v>
      </c>
      <c r="AK35" t="s">
        <v>232</v>
      </c>
      <c r="AL35" t="s">
        <v>232</v>
      </c>
      <c r="AM35">
        <f t="shared" si="37"/>
        <v>1</v>
      </c>
      <c r="AN35">
        <f t="shared" si="38"/>
        <v>1</v>
      </c>
      <c r="AO35">
        <f t="shared" si="39"/>
        <v>0</v>
      </c>
      <c r="AP35">
        <f t="shared" si="40"/>
        <v>0</v>
      </c>
      <c r="AQ35">
        <f t="shared" si="41"/>
        <v>1</v>
      </c>
      <c r="AR35">
        <f t="shared" si="42"/>
        <v>0</v>
      </c>
      <c r="AS35">
        <f t="shared" si="43"/>
        <v>1</v>
      </c>
      <c r="AU35" s="3" t="s">
        <v>125</v>
      </c>
      <c r="AV35" s="3" t="s">
        <v>43</v>
      </c>
      <c r="AW35" s="3" t="s">
        <v>232</v>
      </c>
      <c r="AX35" s="3" t="s">
        <v>232</v>
      </c>
      <c r="AY35" s="3" t="s">
        <v>232</v>
      </c>
      <c r="AZ35" s="3" t="s">
        <v>232</v>
      </c>
      <c r="BA35" s="3" t="s">
        <v>232</v>
      </c>
      <c r="BB35" s="3" t="s">
        <v>232</v>
      </c>
      <c r="BD35" s="3" t="s">
        <v>64</v>
      </c>
    </row>
    <row r="36" spans="1:57" ht="22.5" customHeight="1" x14ac:dyDescent="0.25">
      <c r="A36" s="3">
        <v>22</v>
      </c>
      <c r="B36" s="3" t="s">
        <v>55</v>
      </c>
      <c r="C36" s="3" t="s">
        <v>47</v>
      </c>
      <c r="D36" s="3" t="s">
        <v>79</v>
      </c>
      <c r="E36" s="3" t="s">
        <v>49</v>
      </c>
      <c r="F36" s="3" t="s">
        <v>57</v>
      </c>
      <c r="G36" s="3" t="s">
        <v>50</v>
      </c>
      <c r="H36" s="3">
        <v>0</v>
      </c>
      <c r="I36" s="3">
        <v>0</v>
      </c>
      <c r="J36" s="3" t="s">
        <v>36</v>
      </c>
      <c r="K36" s="3">
        <f t="shared" si="25"/>
        <v>1</v>
      </c>
      <c r="L36" s="3">
        <f t="shared" si="26"/>
        <v>0</v>
      </c>
      <c r="M36" s="3">
        <f t="shared" si="27"/>
        <v>1</v>
      </c>
      <c r="N36" s="3">
        <f t="shared" si="28"/>
        <v>0</v>
      </c>
      <c r="O36" s="3">
        <f t="shared" si="29"/>
        <v>0</v>
      </c>
      <c r="P36" s="3">
        <f ca="1">IF($R36="","",IF(SUM(Form_Responses3[[#This Row],[moti_makefriends]:[moti_friendsinfluence]])=0,1,IF(COUNTA(textsplit(R36,","))&gt;SUM(Form_Responses3[[#This Row],[moti_makefriends]:[moti_friendsinfluence]]),1,0)))</f>
        <v>0</v>
      </c>
      <c r="Q36" s="3"/>
      <c r="R36" s="3" t="s">
        <v>137</v>
      </c>
      <c r="S36" s="3">
        <f t="shared" si="30"/>
        <v>0</v>
      </c>
      <c r="T36" s="3">
        <f t="shared" si="31"/>
        <v>1</v>
      </c>
      <c r="U36" s="3">
        <f t="shared" si="32"/>
        <v>0</v>
      </c>
      <c r="V36" s="3">
        <f t="shared" si="33"/>
        <v>0</v>
      </c>
      <c r="W36" s="3">
        <f t="shared" si="34"/>
        <v>0</v>
      </c>
      <c r="X36" s="3">
        <f t="shared" si="35"/>
        <v>1</v>
      </c>
      <c r="Y36" s="3">
        <f t="shared" si="36"/>
        <v>0</v>
      </c>
      <c r="Z36" s="3"/>
      <c r="AA36" s="3" t="s">
        <v>138</v>
      </c>
      <c r="AB36" s="3">
        <v>5</v>
      </c>
      <c r="AC36" s="3">
        <v>5</v>
      </c>
      <c r="AD36" s="3">
        <v>5</v>
      </c>
      <c r="AE36" s="3">
        <v>4</v>
      </c>
      <c r="AF36" s="3">
        <v>4</v>
      </c>
      <c r="AG36" s="3">
        <v>5</v>
      </c>
      <c r="AH36" s="3">
        <v>5</v>
      </c>
      <c r="AI36" t="s">
        <v>232</v>
      </c>
      <c r="AJ36" t="s">
        <v>232</v>
      </c>
      <c r="AK36" t="s">
        <v>232</v>
      </c>
      <c r="AL36" t="s">
        <v>232</v>
      </c>
      <c r="AM36">
        <f t="shared" si="37"/>
        <v>1</v>
      </c>
      <c r="AN36">
        <f t="shared" si="38"/>
        <v>1</v>
      </c>
      <c r="AO36">
        <f t="shared" si="39"/>
        <v>0</v>
      </c>
      <c r="AP36">
        <f t="shared" si="40"/>
        <v>0</v>
      </c>
      <c r="AQ36">
        <f t="shared" si="41"/>
        <v>1</v>
      </c>
      <c r="AR36">
        <f t="shared" si="42"/>
        <v>0</v>
      </c>
      <c r="AS36">
        <f t="shared" si="43"/>
        <v>0</v>
      </c>
      <c r="AU36" s="3" t="s">
        <v>145</v>
      </c>
      <c r="AV36" s="3" t="s">
        <v>43</v>
      </c>
      <c r="AW36" s="3" t="s">
        <v>232</v>
      </c>
      <c r="AX36" s="3" t="s">
        <v>232</v>
      </c>
      <c r="AY36" s="3" t="s">
        <v>232</v>
      </c>
      <c r="AZ36" s="3" t="s">
        <v>232</v>
      </c>
      <c r="BA36" s="3" t="s">
        <v>232</v>
      </c>
      <c r="BB36" s="3" t="s">
        <v>232</v>
      </c>
      <c r="BD36" s="3" t="s">
        <v>64</v>
      </c>
      <c r="BE36" s="3">
        <v>4</v>
      </c>
    </row>
    <row r="37" spans="1:57" ht="22.5" customHeight="1" x14ac:dyDescent="0.25">
      <c r="A37" s="3">
        <v>22</v>
      </c>
      <c r="B37" s="3" t="s">
        <v>55</v>
      </c>
      <c r="C37" s="3" t="s">
        <v>47</v>
      </c>
      <c r="D37" s="3" t="s">
        <v>56</v>
      </c>
      <c r="E37" s="3" t="s">
        <v>49</v>
      </c>
      <c r="F37" s="3">
        <v>1</v>
      </c>
      <c r="G37" s="3" t="s">
        <v>50</v>
      </c>
      <c r="H37" s="3">
        <v>0</v>
      </c>
      <c r="I37" s="3">
        <v>0</v>
      </c>
      <c r="J37" s="3" t="s">
        <v>36</v>
      </c>
      <c r="K37" s="3">
        <f t="shared" si="25"/>
        <v>1</v>
      </c>
      <c r="L37" s="3">
        <f t="shared" si="26"/>
        <v>1</v>
      </c>
      <c r="M37" s="3">
        <f t="shared" si="27"/>
        <v>1</v>
      </c>
      <c r="N37" s="3">
        <f t="shared" si="28"/>
        <v>0</v>
      </c>
      <c r="O37" s="3">
        <f t="shared" si="29"/>
        <v>0</v>
      </c>
      <c r="P37" s="3">
        <f ca="1">IF($R37="","",IF(SUM(Form_Responses3[[#This Row],[moti_makefriends]:[moti_friendsinfluence]])=0,1,IF(COUNTA(textsplit(R37,","))&gt;SUM(Form_Responses3[[#This Row],[moti_makefriends]:[moti_friendsinfluence]]),1,0)))</f>
        <v>0</v>
      </c>
      <c r="Q37" s="3"/>
      <c r="R37" s="3" t="s">
        <v>93</v>
      </c>
      <c r="S37" s="3">
        <f t="shared" si="30"/>
        <v>1</v>
      </c>
      <c r="T37" s="3">
        <f t="shared" si="31"/>
        <v>1</v>
      </c>
      <c r="U37" s="3">
        <f t="shared" si="32"/>
        <v>0</v>
      </c>
      <c r="V37" s="3">
        <f t="shared" si="33"/>
        <v>0</v>
      </c>
      <c r="W37" s="3">
        <f t="shared" si="34"/>
        <v>0</v>
      </c>
      <c r="X37" s="3">
        <f t="shared" si="35"/>
        <v>1</v>
      </c>
      <c r="Y37" s="3">
        <f t="shared" si="36"/>
        <v>0</v>
      </c>
      <c r="Z37" s="3"/>
      <c r="AA37" s="3" t="s">
        <v>108</v>
      </c>
      <c r="AB37" s="3">
        <v>5</v>
      </c>
      <c r="AC37" s="3">
        <v>4</v>
      </c>
      <c r="AD37" s="3">
        <v>3</v>
      </c>
      <c r="AE37" s="3">
        <v>5</v>
      </c>
      <c r="AF37" s="3">
        <v>4</v>
      </c>
      <c r="AG37" s="3">
        <v>3</v>
      </c>
      <c r="AH37" s="3">
        <v>3</v>
      </c>
      <c r="AI37" t="s">
        <v>232</v>
      </c>
      <c r="AJ37" t="s">
        <v>232</v>
      </c>
      <c r="AK37" t="s">
        <v>232</v>
      </c>
      <c r="AL37" t="s">
        <v>232</v>
      </c>
      <c r="AM37">
        <f t="shared" si="37"/>
        <v>0</v>
      </c>
      <c r="AN37">
        <f t="shared" si="38"/>
        <v>1</v>
      </c>
      <c r="AO37">
        <f t="shared" si="39"/>
        <v>0</v>
      </c>
      <c r="AP37">
        <f t="shared" si="40"/>
        <v>0</v>
      </c>
      <c r="AQ37">
        <f t="shared" si="41"/>
        <v>1</v>
      </c>
      <c r="AR37">
        <f t="shared" si="42"/>
        <v>0</v>
      </c>
      <c r="AS37">
        <f t="shared" si="43"/>
        <v>0</v>
      </c>
      <c r="AU37" s="3" t="s">
        <v>123</v>
      </c>
      <c r="AV37" s="3" t="s">
        <v>43</v>
      </c>
      <c r="AW37" s="3" t="s">
        <v>232</v>
      </c>
      <c r="AX37" s="3" t="s">
        <v>232</v>
      </c>
      <c r="AY37" s="3" t="s">
        <v>232</v>
      </c>
      <c r="AZ37" s="3" t="s">
        <v>232</v>
      </c>
      <c r="BA37" s="3" t="s">
        <v>232</v>
      </c>
      <c r="BB37" s="3" t="s">
        <v>232</v>
      </c>
      <c r="BD37" s="3" t="s">
        <v>64</v>
      </c>
    </row>
    <row r="38" spans="1:57" ht="22.5" customHeight="1" x14ac:dyDescent="0.25">
      <c r="A38" s="3">
        <v>23</v>
      </c>
      <c r="B38" s="3" t="s">
        <v>55</v>
      </c>
      <c r="C38" s="3" t="s">
        <v>32</v>
      </c>
      <c r="D38" s="3" t="s">
        <v>33</v>
      </c>
      <c r="E38" s="3" t="s">
        <v>49</v>
      </c>
      <c r="F38" s="3">
        <v>1</v>
      </c>
      <c r="G38" s="3" t="s">
        <v>35</v>
      </c>
      <c r="H38" s="3">
        <v>0</v>
      </c>
      <c r="I38" s="3">
        <v>0</v>
      </c>
      <c r="J38" s="3" t="s">
        <v>36</v>
      </c>
      <c r="K38" s="3">
        <f t="shared" si="25"/>
        <v>0</v>
      </c>
      <c r="L38" s="3">
        <f t="shared" si="26"/>
        <v>1</v>
      </c>
      <c r="M38" s="3">
        <f t="shared" si="27"/>
        <v>0</v>
      </c>
      <c r="N38" s="3">
        <f t="shared" si="28"/>
        <v>0</v>
      </c>
      <c r="O38" s="3">
        <f t="shared" si="29"/>
        <v>0</v>
      </c>
      <c r="P38" s="3">
        <f ca="1">IF($R38="","",IF(SUM(Form_Responses3[[#This Row],[moti_makefriends]:[moti_friendsinfluence]])=0,1,IF(COUNTA(textsplit(R38,","))&gt;SUM(Form_Responses3[[#This Row],[moti_makefriends]:[moti_friendsinfluence]]),1,0)))</f>
        <v>0</v>
      </c>
      <c r="Q38" s="3"/>
      <c r="R38" s="3" t="s">
        <v>89</v>
      </c>
      <c r="S38" s="3">
        <f t="shared" si="30"/>
        <v>1</v>
      </c>
      <c r="T38" s="3">
        <f t="shared" si="31"/>
        <v>1</v>
      </c>
      <c r="U38" s="3">
        <f t="shared" si="32"/>
        <v>1</v>
      </c>
      <c r="V38" s="3">
        <f t="shared" si="33"/>
        <v>0</v>
      </c>
      <c r="W38" s="3">
        <f t="shared" si="34"/>
        <v>0</v>
      </c>
      <c r="X38" s="3">
        <f t="shared" si="35"/>
        <v>0</v>
      </c>
      <c r="Y38" s="3">
        <f t="shared" si="36"/>
        <v>0</v>
      </c>
      <c r="Z38" s="3"/>
      <c r="AA38" s="3" t="s">
        <v>53</v>
      </c>
      <c r="AB38" s="3">
        <v>1</v>
      </c>
      <c r="AC38" s="3">
        <v>2</v>
      </c>
      <c r="AD38" s="3">
        <v>4</v>
      </c>
      <c r="AE38" s="3">
        <v>2</v>
      </c>
      <c r="AF38" s="3">
        <v>1</v>
      </c>
      <c r="AG38" s="3">
        <v>3</v>
      </c>
      <c r="AH38" s="3">
        <v>1</v>
      </c>
      <c r="AI38" t="s">
        <v>232</v>
      </c>
      <c r="AJ38" t="s">
        <v>232</v>
      </c>
      <c r="AK38" t="s">
        <v>232</v>
      </c>
      <c r="AL38" t="s">
        <v>232</v>
      </c>
      <c r="AM38">
        <f t="shared" si="37"/>
        <v>0</v>
      </c>
      <c r="AN38">
        <f t="shared" si="38"/>
        <v>0</v>
      </c>
      <c r="AO38">
        <f t="shared" si="39"/>
        <v>0</v>
      </c>
      <c r="AP38">
        <f t="shared" si="40"/>
        <v>0</v>
      </c>
      <c r="AQ38">
        <f t="shared" si="41"/>
        <v>1</v>
      </c>
      <c r="AR38">
        <f t="shared" si="42"/>
        <v>0</v>
      </c>
      <c r="AS38">
        <f t="shared" si="43"/>
        <v>1</v>
      </c>
      <c r="AU38" s="3" t="s">
        <v>42</v>
      </c>
      <c r="AV38" s="3" t="s">
        <v>82</v>
      </c>
      <c r="AW38" s="3">
        <f t="shared" si="44"/>
        <v>0</v>
      </c>
      <c r="AX38" s="3">
        <f t="shared" si="45"/>
        <v>0</v>
      </c>
      <c r="AY38" s="3">
        <f t="shared" si="46"/>
        <v>0</v>
      </c>
      <c r="AZ38" s="3">
        <f t="shared" si="47"/>
        <v>0</v>
      </c>
      <c r="BA38" s="3">
        <f t="shared" si="48"/>
        <v>0</v>
      </c>
      <c r="BB38" s="3">
        <f t="shared" si="49"/>
        <v>1</v>
      </c>
      <c r="BC38" s="3" t="s">
        <v>104</v>
      </c>
      <c r="BD38" s="3" t="s">
        <v>64</v>
      </c>
    </row>
    <row r="39" spans="1:57" ht="22.5" customHeight="1" x14ac:dyDescent="0.25">
      <c r="A39" s="3">
        <v>23</v>
      </c>
      <c r="B39" s="3" t="s">
        <v>55</v>
      </c>
      <c r="C39" s="3" t="s">
        <v>47</v>
      </c>
      <c r="D39" s="3" t="s">
        <v>48</v>
      </c>
      <c r="E39" s="3" t="s">
        <v>49</v>
      </c>
      <c r="F39" s="3">
        <v>2</v>
      </c>
      <c r="G39" s="3" t="s">
        <v>50</v>
      </c>
      <c r="H39" s="3">
        <v>0</v>
      </c>
      <c r="I39" s="3" t="s">
        <v>50</v>
      </c>
      <c r="J39" s="3" t="s">
        <v>51</v>
      </c>
      <c r="K39" s="3">
        <f t="shared" si="25"/>
        <v>1</v>
      </c>
      <c r="L39" s="3">
        <f t="shared" si="26"/>
        <v>1</v>
      </c>
      <c r="M39" s="3">
        <f t="shared" si="27"/>
        <v>1</v>
      </c>
      <c r="N39" s="3">
        <f t="shared" si="28"/>
        <v>0</v>
      </c>
      <c r="O39" s="3">
        <f t="shared" si="29"/>
        <v>1</v>
      </c>
      <c r="P39" s="3">
        <f ca="1">IF($R39="","",IF(SUM(Form_Responses3[[#This Row],[moti_makefriends]:[moti_friendsinfluence]])=0,1,IF(COUNTA(textsplit(R39,","))&gt;SUM(Form_Responses3[[#This Row],[moti_makefriends]:[moti_friendsinfluence]]),1,0)))</f>
        <v>0</v>
      </c>
      <c r="Q39" s="3"/>
      <c r="R39" s="3" t="s">
        <v>129</v>
      </c>
      <c r="S39" s="3">
        <f t="shared" si="30"/>
        <v>1</v>
      </c>
      <c r="T39" s="3">
        <f t="shared" si="31"/>
        <v>1</v>
      </c>
      <c r="U39" s="3">
        <f t="shared" si="32"/>
        <v>1</v>
      </c>
      <c r="V39" s="3">
        <f t="shared" si="33"/>
        <v>0</v>
      </c>
      <c r="W39" s="3">
        <f t="shared" si="34"/>
        <v>0</v>
      </c>
      <c r="X39" s="3">
        <f t="shared" si="35"/>
        <v>0</v>
      </c>
      <c r="Y39" s="3">
        <f t="shared" si="36"/>
        <v>0</v>
      </c>
      <c r="Z39" s="3"/>
      <c r="AA39" s="3" t="s">
        <v>53</v>
      </c>
      <c r="AB39" s="3">
        <v>5</v>
      </c>
      <c r="AC39" s="3">
        <v>4</v>
      </c>
      <c r="AD39" s="3">
        <v>5</v>
      </c>
      <c r="AE39" s="3">
        <v>5</v>
      </c>
      <c r="AF39" s="3">
        <v>4</v>
      </c>
      <c r="AG39" s="3">
        <v>4</v>
      </c>
      <c r="AH39" s="3">
        <v>5</v>
      </c>
      <c r="AI39" t="s">
        <v>232</v>
      </c>
      <c r="AJ39" t="s">
        <v>232</v>
      </c>
      <c r="AK39" t="s">
        <v>232</v>
      </c>
      <c r="AL39" t="s">
        <v>232</v>
      </c>
      <c r="AM39">
        <f t="shared" si="37"/>
        <v>1</v>
      </c>
      <c r="AN39">
        <f t="shared" si="38"/>
        <v>1</v>
      </c>
      <c r="AO39">
        <f t="shared" si="39"/>
        <v>0</v>
      </c>
      <c r="AP39">
        <f t="shared" si="40"/>
        <v>1</v>
      </c>
      <c r="AQ39">
        <f t="shared" si="41"/>
        <v>1</v>
      </c>
      <c r="AR39">
        <f t="shared" si="42"/>
        <v>1</v>
      </c>
      <c r="AS39">
        <f t="shared" si="43"/>
        <v>0</v>
      </c>
      <c r="AU39" s="3" t="s">
        <v>146</v>
      </c>
      <c r="AV39" s="3" t="s">
        <v>43</v>
      </c>
      <c r="AW39" s="3" t="s">
        <v>232</v>
      </c>
      <c r="AX39" s="3" t="s">
        <v>232</v>
      </c>
      <c r="AY39" s="3" t="s">
        <v>232</v>
      </c>
      <c r="AZ39" s="3" t="s">
        <v>232</v>
      </c>
      <c r="BA39" s="3" t="s">
        <v>232</v>
      </c>
      <c r="BB39" s="3" t="s">
        <v>232</v>
      </c>
      <c r="BC39" s="3" t="s">
        <v>147</v>
      </c>
      <c r="BD39" s="3" t="s">
        <v>64</v>
      </c>
      <c r="BE39" s="3">
        <v>4</v>
      </c>
    </row>
    <row r="40" spans="1:57" ht="22.5" customHeight="1" x14ac:dyDescent="0.25">
      <c r="A40" s="3">
        <v>23</v>
      </c>
      <c r="B40" s="3" t="s">
        <v>55</v>
      </c>
      <c r="C40" s="3" t="s">
        <v>32</v>
      </c>
      <c r="D40" s="3" t="s">
        <v>33</v>
      </c>
      <c r="E40" s="3" t="s">
        <v>49</v>
      </c>
      <c r="F40" s="3">
        <v>1</v>
      </c>
      <c r="G40" s="3" t="s">
        <v>50</v>
      </c>
      <c r="H40" s="3">
        <v>0</v>
      </c>
      <c r="I40" s="3">
        <v>0</v>
      </c>
      <c r="J40" s="3" t="s">
        <v>36</v>
      </c>
      <c r="K40" s="3">
        <f t="shared" si="25"/>
        <v>1</v>
      </c>
      <c r="L40" s="3">
        <f t="shared" si="26"/>
        <v>1</v>
      </c>
      <c r="M40" s="3">
        <f t="shared" si="27"/>
        <v>0</v>
      </c>
      <c r="N40" s="3">
        <f t="shared" si="28"/>
        <v>0</v>
      </c>
      <c r="O40" s="3">
        <f t="shared" si="29"/>
        <v>1</v>
      </c>
      <c r="P40" s="3">
        <f ca="1">IF($R40="","",IF(SUM(Form_Responses3[[#This Row],[moti_makefriends]:[moti_friendsinfluence]])=0,1,IF(COUNTA(textsplit(R40,","))&gt;SUM(Form_Responses3[[#This Row],[moti_makefriends]:[moti_friendsinfluence]]),1,0)))</f>
        <v>0</v>
      </c>
      <c r="Q40" s="3"/>
      <c r="R40" s="3" t="s">
        <v>148</v>
      </c>
      <c r="S40" s="3">
        <f t="shared" si="30"/>
        <v>0</v>
      </c>
      <c r="T40" s="3">
        <f t="shared" si="31"/>
        <v>1</v>
      </c>
      <c r="U40" s="3">
        <f t="shared" si="32"/>
        <v>0</v>
      </c>
      <c r="V40" s="3">
        <f t="shared" si="33"/>
        <v>0</v>
      </c>
      <c r="W40" s="3">
        <f t="shared" si="34"/>
        <v>0</v>
      </c>
      <c r="X40" s="3">
        <f t="shared" si="35"/>
        <v>1</v>
      </c>
      <c r="Y40" s="3">
        <f t="shared" si="36"/>
        <v>1</v>
      </c>
      <c r="Z40" s="3"/>
      <c r="AA40" s="3" t="s">
        <v>149</v>
      </c>
      <c r="AB40" s="3">
        <v>3</v>
      </c>
      <c r="AC40" s="3">
        <v>4</v>
      </c>
      <c r="AD40" s="3">
        <v>4</v>
      </c>
      <c r="AE40" s="3">
        <v>5</v>
      </c>
      <c r="AF40" s="3">
        <v>4</v>
      </c>
      <c r="AG40" s="3">
        <v>4</v>
      </c>
      <c r="AH40" s="3">
        <v>2</v>
      </c>
      <c r="AI40" t="s">
        <v>232</v>
      </c>
      <c r="AJ40" t="s">
        <v>232</v>
      </c>
      <c r="AK40" t="s">
        <v>232</v>
      </c>
      <c r="AL40" t="s">
        <v>232</v>
      </c>
      <c r="AM40">
        <f t="shared" si="37"/>
        <v>0</v>
      </c>
      <c r="AN40">
        <f t="shared" si="38"/>
        <v>1</v>
      </c>
      <c r="AO40">
        <f t="shared" si="39"/>
        <v>1</v>
      </c>
      <c r="AP40">
        <f t="shared" si="40"/>
        <v>0</v>
      </c>
      <c r="AQ40">
        <f t="shared" si="41"/>
        <v>1</v>
      </c>
      <c r="AR40">
        <f t="shared" si="42"/>
        <v>1</v>
      </c>
      <c r="AS40">
        <f t="shared" si="43"/>
        <v>1</v>
      </c>
      <c r="AU40" s="3" t="s">
        <v>150</v>
      </c>
      <c r="AV40" s="3" t="s">
        <v>39</v>
      </c>
      <c r="AW40" s="3">
        <f t="shared" si="44"/>
        <v>1</v>
      </c>
      <c r="AX40" s="3">
        <f t="shared" si="45"/>
        <v>1</v>
      </c>
      <c r="AY40" s="3">
        <f t="shared" si="46"/>
        <v>1</v>
      </c>
      <c r="AZ40" s="3">
        <f t="shared" si="47"/>
        <v>0</v>
      </c>
      <c r="BA40" s="3">
        <f t="shared" si="48"/>
        <v>0</v>
      </c>
      <c r="BB40" s="3">
        <f t="shared" si="49"/>
        <v>0</v>
      </c>
      <c r="BC40" s="3" t="s">
        <v>63</v>
      </c>
      <c r="BD40" s="3" t="s">
        <v>64</v>
      </c>
      <c r="BE40" s="3">
        <v>3</v>
      </c>
    </row>
    <row r="41" spans="1:57" ht="22.5" customHeight="1" x14ac:dyDescent="0.25">
      <c r="A41" s="3">
        <v>22</v>
      </c>
      <c r="B41" s="3" t="s">
        <v>55</v>
      </c>
      <c r="C41" s="3" t="s">
        <v>47</v>
      </c>
      <c r="D41" s="3" t="s">
        <v>48</v>
      </c>
      <c r="E41" s="3" t="s">
        <v>34</v>
      </c>
      <c r="F41" s="3">
        <v>2</v>
      </c>
      <c r="G41" s="3" t="s">
        <v>35</v>
      </c>
      <c r="H41" s="3">
        <v>0</v>
      </c>
      <c r="I41" s="3">
        <v>0</v>
      </c>
      <c r="J41" s="3" t="s">
        <v>51</v>
      </c>
      <c r="K41" s="3">
        <f t="shared" si="25"/>
        <v>1</v>
      </c>
      <c r="L41" s="3">
        <f t="shared" si="26"/>
        <v>1</v>
      </c>
      <c r="M41" s="3">
        <f t="shared" si="27"/>
        <v>1</v>
      </c>
      <c r="N41" s="3">
        <f t="shared" si="28"/>
        <v>0</v>
      </c>
      <c r="O41" s="3">
        <f t="shared" si="29"/>
        <v>1</v>
      </c>
      <c r="P41" s="3">
        <f ca="1">IF($R41="","",IF(SUM(Form_Responses3[[#This Row],[moti_makefriends]:[moti_friendsinfluence]])=0,1,IF(COUNTA(textsplit(R41,","))&gt;SUM(Form_Responses3[[#This Row],[moti_makefriends]:[moti_friendsinfluence]]),1,0)))</f>
        <v>0</v>
      </c>
      <c r="Q41" s="3"/>
      <c r="R41" s="3" t="s">
        <v>129</v>
      </c>
      <c r="S41" s="3">
        <f t="shared" si="30"/>
        <v>1</v>
      </c>
      <c r="T41" s="3">
        <f t="shared" si="31"/>
        <v>1</v>
      </c>
      <c r="U41" s="3">
        <f t="shared" si="32"/>
        <v>0</v>
      </c>
      <c r="V41" s="3">
        <f t="shared" si="33"/>
        <v>0</v>
      </c>
      <c r="W41" s="3">
        <f t="shared" si="34"/>
        <v>0</v>
      </c>
      <c r="X41" s="3">
        <f t="shared" si="35"/>
        <v>0</v>
      </c>
      <c r="Y41" s="3">
        <f t="shared" si="36"/>
        <v>0</v>
      </c>
      <c r="Z41" s="3"/>
      <c r="AA41" s="3" t="s">
        <v>70</v>
      </c>
      <c r="AB41" s="3">
        <v>4</v>
      </c>
      <c r="AC41" s="3">
        <v>4</v>
      </c>
      <c r="AD41" s="3">
        <v>4</v>
      </c>
      <c r="AE41" s="3">
        <v>3</v>
      </c>
      <c r="AF41" s="3">
        <v>3</v>
      </c>
      <c r="AG41" s="3">
        <v>4</v>
      </c>
      <c r="AH41" s="3">
        <v>3</v>
      </c>
      <c r="AI41" s="3" t="s">
        <v>43</v>
      </c>
      <c r="AJ41" s="3" t="s">
        <v>68</v>
      </c>
      <c r="AK41" s="3" t="s">
        <v>67</v>
      </c>
      <c r="AL41" s="3" t="s">
        <v>67</v>
      </c>
      <c r="AM41" s="3">
        <f t="shared" si="37"/>
        <v>0</v>
      </c>
      <c r="AN41" s="3">
        <f t="shared" si="38"/>
        <v>1</v>
      </c>
      <c r="AO41" s="3">
        <f t="shared" si="39"/>
        <v>1</v>
      </c>
      <c r="AP41" s="3">
        <f t="shared" si="40"/>
        <v>1</v>
      </c>
      <c r="AQ41" s="3">
        <f t="shared" si="41"/>
        <v>1</v>
      </c>
      <c r="AR41" s="3">
        <f t="shared" si="42"/>
        <v>1</v>
      </c>
      <c r="AS41" s="3">
        <f t="shared" si="43"/>
        <v>1</v>
      </c>
      <c r="AT41" s="3"/>
      <c r="AU41" s="3" t="s">
        <v>118</v>
      </c>
      <c r="AV41" s="3" t="s">
        <v>43</v>
      </c>
      <c r="AW41" s="3" t="s">
        <v>232</v>
      </c>
      <c r="AX41" s="3" t="s">
        <v>232</v>
      </c>
      <c r="AY41" s="3" t="s">
        <v>232</v>
      </c>
      <c r="AZ41" s="3" t="s">
        <v>232</v>
      </c>
      <c r="BA41" s="3" t="s">
        <v>232</v>
      </c>
      <c r="BB41" s="3" t="s">
        <v>232</v>
      </c>
      <c r="BD41" s="3" t="s">
        <v>64</v>
      </c>
      <c r="BE41" s="3">
        <v>3</v>
      </c>
    </row>
    <row r="42" spans="1:57" ht="22.5" customHeight="1" x14ac:dyDescent="0.25">
      <c r="A42" s="3">
        <v>22</v>
      </c>
      <c r="B42" s="3" t="s">
        <v>151</v>
      </c>
      <c r="C42" s="3" t="s">
        <v>47</v>
      </c>
      <c r="D42" s="3" t="s">
        <v>48</v>
      </c>
      <c r="E42" s="3" t="s">
        <v>49</v>
      </c>
      <c r="F42" s="3">
        <v>0</v>
      </c>
      <c r="G42" s="3">
        <v>0</v>
      </c>
      <c r="H42" s="3">
        <v>0</v>
      </c>
      <c r="I42" s="3">
        <v>0</v>
      </c>
      <c r="J42" s="3" t="s">
        <v>92</v>
      </c>
      <c r="K42" s="3">
        <f t="shared" si="25"/>
        <v>0</v>
      </c>
      <c r="L42" s="3">
        <f t="shared" si="26"/>
        <v>1</v>
      </c>
      <c r="M42" s="3">
        <f t="shared" si="27"/>
        <v>0</v>
      </c>
      <c r="N42" s="3">
        <f t="shared" si="28"/>
        <v>1</v>
      </c>
      <c r="O42" s="3">
        <f t="shared" si="29"/>
        <v>0</v>
      </c>
      <c r="P42" s="3">
        <f ca="1">IF($R42="","",IF(SUM(Form_Responses3[[#This Row],[moti_makefriends]:[moti_friendsinfluence]])=0,1,IF(COUNTA(textsplit(R42,","))&gt;SUM(Form_Responses3[[#This Row],[moti_makefriends]:[moti_friendsinfluence]]),1,0)))</f>
        <v>0</v>
      </c>
      <c r="Q42" s="3"/>
      <c r="R42" s="3" t="s">
        <v>122</v>
      </c>
      <c r="S42" s="3">
        <f t="shared" si="30"/>
        <v>0</v>
      </c>
      <c r="T42" s="3">
        <f t="shared" si="31"/>
        <v>0</v>
      </c>
      <c r="U42" s="3">
        <f t="shared" si="32"/>
        <v>0</v>
      </c>
      <c r="V42" s="3">
        <f t="shared" si="33"/>
        <v>1</v>
      </c>
      <c r="W42" s="3">
        <f t="shared" si="34"/>
        <v>0</v>
      </c>
      <c r="X42" s="3">
        <f t="shared" si="35"/>
        <v>0</v>
      </c>
      <c r="Y42" s="3">
        <f t="shared" si="36"/>
        <v>0</v>
      </c>
      <c r="Z42" s="3"/>
      <c r="AA42" s="3" t="s">
        <v>127</v>
      </c>
      <c r="AB42" s="3">
        <v>3</v>
      </c>
      <c r="AC42" s="3">
        <v>1</v>
      </c>
      <c r="AD42" s="3">
        <v>1</v>
      </c>
      <c r="AE42" s="3">
        <v>4</v>
      </c>
      <c r="AF42" s="3">
        <v>3</v>
      </c>
      <c r="AG42" s="3">
        <v>5</v>
      </c>
      <c r="AH42" s="3">
        <v>3</v>
      </c>
      <c r="AI42" t="s">
        <v>232</v>
      </c>
      <c r="AJ42" t="s">
        <v>232</v>
      </c>
      <c r="AK42" t="s">
        <v>232</v>
      </c>
      <c r="AL42" t="s">
        <v>232</v>
      </c>
      <c r="AM42">
        <f t="shared" si="37"/>
        <v>0</v>
      </c>
      <c r="AN42">
        <f t="shared" si="38"/>
        <v>0</v>
      </c>
      <c r="AO42">
        <f t="shared" si="39"/>
        <v>0</v>
      </c>
      <c r="AP42">
        <f t="shared" si="40"/>
        <v>0</v>
      </c>
      <c r="AQ42">
        <f t="shared" si="41"/>
        <v>0</v>
      </c>
      <c r="AR42">
        <f t="shared" si="42"/>
        <v>0</v>
      </c>
      <c r="AS42">
        <f t="shared" si="43"/>
        <v>0</v>
      </c>
      <c r="AU42" s="3" t="s">
        <v>46</v>
      </c>
      <c r="AV42" s="3" t="s">
        <v>82</v>
      </c>
      <c r="AW42" s="3">
        <f t="shared" si="44"/>
        <v>0</v>
      </c>
      <c r="AX42" s="3">
        <f t="shared" si="45"/>
        <v>1</v>
      </c>
      <c r="AY42" s="3">
        <f t="shared" si="46"/>
        <v>0</v>
      </c>
      <c r="AZ42" s="3">
        <f t="shared" si="47"/>
        <v>0</v>
      </c>
      <c r="BA42" s="3">
        <f t="shared" si="48"/>
        <v>0</v>
      </c>
      <c r="BB42" s="3">
        <f t="shared" si="49"/>
        <v>0</v>
      </c>
      <c r="BC42" s="3" t="s">
        <v>134</v>
      </c>
      <c r="BD42" s="3" t="s">
        <v>45</v>
      </c>
      <c r="BE42" s="3">
        <v>3</v>
      </c>
    </row>
    <row r="43" spans="1:57" ht="22.5" customHeight="1" x14ac:dyDescent="0.25">
      <c r="A43" s="3">
        <v>23</v>
      </c>
      <c r="B43" s="3" t="s">
        <v>55</v>
      </c>
      <c r="C43" s="3" t="s">
        <v>47</v>
      </c>
      <c r="D43" s="3" t="s">
        <v>56</v>
      </c>
      <c r="E43" s="3" t="s">
        <v>49</v>
      </c>
      <c r="F43" s="3">
        <v>2</v>
      </c>
      <c r="G43" s="3">
        <v>0</v>
      </c>
      <c r="H43" s="3">
        <v>2</v>
      </c>
      <c r="I43" s="3" t="s">
        <v>50</v>
      </c>
      <c r="J43" s="3" t="s">
        <v>36</v>
      </c>
      <c r="K43" s="3">
        <f t="shared" si="25"/>
        <v>1</v>
      </c>
      <c r="L43" s="3">
        <f t="shared" si="26"/>
        <v>1</v>
      </c>
      <c r="M43" s="3">
        <f t="shared" si="27"/>
        <v>1</v>
      </c>
      <c r="N43" s="3">
        <f t="shared" si="28"/>
        <v>0</v>
      </c>
      <c r="O43" s="3">
        <f t="shared" si="29"/>
        <v>0</v>
      </c>
      <c r="P43" s="3">
        <f ca="1">IF($R43="","",IF(SUM(Form_Responses3[[#This Row],[moti_makefriends]:[moti_friendsinfluence]])=0,1,IF(COUNTA(textsplit(R43,","))&gt;SUM(Form_Responses3[[#This Row],[moti_makefriends]:[moti_friendsinfluence]]),1,0)))</f>
        <v>0</v>
      </c>
      <c r="Q43" s="3"/>
      <c r="R43" s="3" t="s">
        <v>93</v>
      </c>
      <c r="S43" s="3">
        <f t="shared" si="30"/>
        <v>1</v>
      </c>
      <c r="T43" s="3">
        <f t="shared" si="31"/>
        <v>1</v>
      </c>
      <c r="U43" s="3">
        <f t="shared" si="32"/>
        <v>0</v>
      </c>
      <c r="V43" s="3">
        <f t="shared" si="33"/>
        <v>0</v>
      </c>
      <c r="W43" s="3">
        <f t="shared" si="34"/>
        <v>0</v>
      </c>
      <c r="X43" s="3">
        <f t="shared" si="35"/>
        <v>1</v>
      </c>
      <c r="Y43" s="3">
        <f t="shared" si="36"/>
        <v>0</v>
      </c>
      <c r="Z43" s="3"/>
      <c r="AA43" s="3" t="s">
        <v>108</v>
      </c>
      <c r="AB43" s="3">
        <v>5</v>
      </c>
      <c r="AC43" s="3">
        <v>4</v>
      </c>
      <c r="AD43" s="3">
        <v>4</v>
      </c>
      <c r="AE43" s="3">
        <v>5</v>
      </c>
      <c r="AF43" s="3">
        <v>5</v>
      </c>
      <c r="AG43" s="3">
        <v>4</v>
      </c>
      <c r="AH43" s="3">
        <v>4</v>
      </c>
      <c r="AI43" t="s">
        <v>232</v>
      </c>
      <c r="AJ43" t="s">
        <v>232</v>
      </c>
      <c r="AK43" t="s">
        <v>232</v>
      </c>
      <c r="AL43" t="s">
        <v>232</v>
      </c>
      <c r="AM43">
        <f t="shared" si="37"/>
        <v>1</v>
      </c>
      <c r="AN43">
        <f t="shared" si="38"/>
        <v>1</v>
      </c>
      <c r="AO43">
        <f t="shared" si="39"/>
        <v>1</v>
      </c>
      <c r="AP43">
        <f t="shared" si="40"/>
        <v>0</v>
      </c>
      <c r="AQ43">
        <f t="shared" si="41"/>
        <v>1</v>
      </c>
      <c r="AR43">
        <f t="shared" si="42"/>
        <v>0</v>
      </c>
      <c r="AS43">
        <f t="shared" si="43"/>
        <v>0</v>
      </c>
      <c r="AU43" s="3" t="s">
        <v>87</v>
      </c>
      <c r="AV43" s="3" t="s">
        <v>43</v>
      </c>
      <c r="AW43" s="3" t="s">
        <v>232</v>
      </c>
      <c r="AX43" s="3" t="s">
        <v>232</v>
      </c>
      <c r="AY43" s="3" t="s">
        <v>232</v>
      </c>
      <c r="AZ43" s="3" t="s">
        <v>232</v>
      </c>
      <c r="BA43" s="3" t="s">
        <v>232</v>
      </c>
      <c r="BB43" s="3" t="s">
        <v>232</v>
      </c>
      <c r="BC43" s="3" t="s">
        <v>152</v>
      </c>
      <c r="BD43" s="3" t="s">
        <v>64</v>
      </c>
      <c r="BE43" s="3">
        <v>4</v>
      </c>
    </row>
    <row r="44" spans="1:57" ht="22.5" customHeight="1" x14ac:dyDescent="0.25">
      <c r="A44" s="3">
        <v>23</v>
      </c>
      <c r="B44" s="3" t="s">
        <v>31</v>
      </c>
      <c r="C44" s="3" t="s">
        <v>47</v>
      </c>
      <c r="D44" s="3" t="s">
        <v>48</v>
      </c>
      <c r="E44" s="3" t="s">
        <v>49</v>
      </c>
      <c r="F44" s="3">
        <v>1</v>
      </c>
      <c r="G44" s="3" t="s">
        <v>50</v>
      </c>
      <c r="H44" s="3">
        <v>0</v>
      </c>
      <c r="I44" s="3">
        <v>0</v>
      </c>
      <c r="J44" s="3" t="s">
        <v>36</v>
      </c>
      <c r="K44" s="3">
        <f t="shared" si="25"/>
        <v>1</v>
      </c>
      <c r="L44" s="3">
        <f t="shared" si="26"/>
        <v>1</v>
      </c>
      <c r="M44" s="3">
        <f t="shared" si="27"/>
        <v>1</v>
      </c>
      <c r="N44" s="3">
        <f t="shared" si="28"/>
        <v>0</v>
      </c>
      <c r="O44" s="3">
        <f t="shared" si="29"/>
        <v>0</v>
      </c>
      <c r="P44" s="3">
        <f ca="1">IF($R44="","",IF(SUM(Form_Responses3[[#This Row],[moti_makefriends]:[moti_friendsinfluence]])=0,1,IF(COUNTA(textsplit(R44,","))&gt;SUM(Form_Responses3[[#This Row],[moti_makefriends]:[moti_friendsinfluence]]),1,0)))</f>
        <v>0</v>
      </c>
      <c r="Q44" s="3"/>
      <c r="R44" s="3" t="s">
        <v>93</v>
      </c>
      <c r="S44" s="3">
        <f t="shared" si="30"/>
        <v>1</v>
      </c>
      <c r="T44" s="3">
        <f t="shared" si="31"/>
        <v>1</v>
      </c>
      <c r="U44" s="3">
        <f t="shared" si="32"/>
        <v>1</v>
      </c>
      <c r="V44" s="3">
        <f t="shared" si="33"/>
        <v>0</v>
      </c>
      <c r="W44" s="3">
        <f t="shared" si="34"/>
        <v>0</v>
      </c>
      <c r="X44" s="3">
        <f t="shared" si="35"/>
        <v>0</v>
      </c>
      <c r="Y44" s="3">
        <f t="shared" si="36"/>
        <v>0</v>
      </c>
      <c r="Z44" s="3"/>
      <c r="AA44" s="3" t="s">
        <v>53</v>
      </c>
      <c r="AB44" s="3">
        <v>4</v>
      </c>
      <c r="AC44" s="3">
        <v>4</v>
      </c>
      <c r="AD44" s="3">
        <v>4</v>
      </c>
      <c r="AE44" s="3">
        <v>4</v>
      </c>
      <c r="AF44" s="3">
        <v>4</v>
      </c>
      <c r="AG44" s="3">
        <v>4</v>
      </c>
      <c r="AH44" s="3">
        <v>4</v>
      </c>
      <c r="AI44" t="s">
        <v>232</v>
      </c>
      <c r="AJ44" t="s">
        <v>232</v>
      </c>
      <c r="AK44" t="s">
        <v>232</v>
      </c>
      <c r="AL44" t="s">
        <v>232</v>
      </c>
      <c r="AM44">
        <f t="shared" si="37"/>
        <v>1</v>
      </c>
      <c r="AN44">
        <f t="shared" si="38"/>
        <v>0</v>
      </c>
      <c r="AO44">
        <f t="shared" si="39"/>
        <v>0</v>
      </c>
      <c r="AP44">
        <f t="shared" si="40"/>
        <v>0</v>
      </c>
      <c r="AQ44">
        <f t="shared" si="41"/>
        <v>0</v>
      </c>
      <c r="AR44">
        <f t="shared" si="42"/>
        <v>0</v>
      </c>
      <c r="AS44">
        <f t="shared" si="43"/>
        <v>0</v>
      </c>
      <c r="AU44" s="3" t="s">
        <v>153</v>
      </c>
      <c r="AV44" s="3" t="s">
        <v>43</v>
      </c>
      <c r="AW44" s="3" t="s">
        <v>232</v>
      </c>
      <c r="AX44" s="3" t="s">
        <v>232</v>
      </c>
      <c r="AY44" s="3" t="s">
        <v>232</v>
      </c>
      <c r="AZ44" s="3" t="s">
        <v>232</v>
      </c>
      <c r="BA44" s="3" t="s">
        <v>232</v>
      </c>
      <c r="BB44" s="3" t="s">
        <v>232</v>
      </c>
      <c r="BC44" s="3" t="s">
        <v>111</v>
      </c>
      <c r="BD44" s="3" t="s">
        <v>64</v>
      </c>
      <c r="BE44" s="3">
        <v>3</v>
      </c>
    </row>
    <row r="45" spans="1:57" ht="22.5" customHeight="1" x14ac:dyDescent="0.25">
      <c r="A45" s="3">
        <v>23</v>
      </c>
      <c r="B45" s="3" t="s">
        <v>31</v>
      </c>
      <c r="C45" s="3" t="s">
        <v>47</v>
      </c>
      <c r="D45" s="3" t="s">
        <v>48</v>
      </c>
      <c r="E45" s="3" t="s">
        <v>49</v>
      </c>
      <c r="F45" s="3" t="s">
        <v>57</v>
      </c>
      <c r="G45" s="3" t="s">
        <v>58</v>
      </c>
      <c r="H45" s="3">
        <v>0</v>
      </c>
      <c r="I45" s="3" t="s">
        <v>35</v>
      </c>
      <c r="J45" s="3" t="s">
        <v>51</v>
      </c>
      <c r="K45" s="3">
        <f t="shared" si="25"/>
        <v>1</v>
      </c>
      <c r="L45" s="3">
        <f t="shared" si="26"/>
        <v>1</v>
      </c>
      <c r="M45" s="3">
        <f t="shared" si="27"/>
        <v>1</v>
      </c>
      <c r="N45" s="3">
        <f t="shared" si="28"/>
        <v>1</v>
      </c>
      <c r="O45" s="3">
        <f t="shared" si="29"/>
        <v>0</v>
      </c>
      <c r="P45" s="3">
        <f ca="1">IF($R45="","",IF(SUM(Form_Responses3[[#This Row],[moti_makefriends]:[moti_friendsinfluence]])=0,1,IF(COUNTA(textsplit(R45,","))&gt;SUM(Form_Responses3[[#This Row],[moti_makefriends]:[moti_friendsinfluence]]),1,0)))</f>
        <v>0</v>
      </c>
      <c r="Q45" s="3"/>
      <c r="R45" s="3" t="s">
        <v>140</v>
      </c>
      <c r="S45" s="3">
        <f t="shared" si="30"/>
        <v>0</v>
      </c>
      <c r="T45" s="3">
        <f t="shared" si="31"/>
        <v>1</v>
      </c>
      <c r="U45" s="3">
        <f t="shared" si="32"/>
        <v>0</v>
      </c>
      <c r="V45" s="3">
        <f t="shared" si="33"/>
        <v>0</v>
      </c>
      <c r="W45" s="3">
        <f t="shared" si="34"/>
        <v>0</v>
      </c>
      <c r="X45" s="3">
        <f t="shared" si="35"/>
        <v>0</v>
      </c>
      <c r="Y45" s="3">
        <f t="shared" si="36"/>
        <v>0</v>
      </c>
      <c r="Z45" s="3"/>
      <c r="AA45" s="3" t="s">
        <v>66</v>
      </c>
      <c r="AB45" s="3">
        <v>5</v>
      </c>
      <c r="AC45" s="3">
        <v>5</v>
      </c>
      <c r="AD45" s="3">
        <v>5</v>
      </c>
      <c r="AE45" s="3">
        <v>5</v>
      </c>
      <c r="AF45" s="3">
        <v>5</v>
      </c>
      <c r="AG45" s="3">
        <v>5</v>
      </c>
      <c r="AH45" s="3">
        <v>5</v>
      </c>
      <c r="AI45" t="s">
        <v>232</v>
      </c>
      <c r="AJ45" t="s">
        <v>232</v>
      </c>
      <c r="AK45" t="s">
        <v>232</v>
      </c>
      <c r="AL45" t="s">
        <v>232</v>
      </c>
      <c r="AM45">
        <f t="shared" si="37"/>
        <v>0</v>
      </c>
      <c r="AN45">
        <f t="shared" si="38"/>
        <v>1</v>
      </c>
      <c r="AO45">
        <f t="shared" si="39"/>
        <v>1</v>
      </c>
      <c r="AP45">
        <f t="shared" si="40"/>
        <v>1</v>
      </c>
      <c r="AQ45">
        <f t="shared" si="41"/>
        <v>1</v>
      </c>
      <c r="AR45">
        <f t="shared" si="42"/>
        <v>0</v>
      </c>
      <c r="AS45">
        <f t="shared" si="43"/>
        <v>1</v>
      </c>
      <c r="AU45" s="3" t="s">
        <v>144</v>
      </c>
      <c r="AV45" s="3" t="s">
        <v>43</v>
      </c>
      <c r="AW45" s="3" t="s">
        <v>232</v>
      </c>
      <c r="AX45" s="3" t="s">
        <v>232</v>
      </c>
      <c r="AY45" s="3" t="s">
        <v>232</v>
      </c>
      <c r="AZ45" s="3" t="s">
        <v>232</v>
      </c>
      <c r="BA45" s="3" t="s">
        <v>232</v>
      </c>
      <c r="BB45" s="3" t="s">
        <v>232</v>
      </c>
      <c r="BC45" s="3" t="s">
        <v>154</v>
      </c>
      <c r="BD45" s="3" t="s">
        <v>64</v>
      </c>
      <c r="BE45" s="3">
        <v>3</v>
      </c>
    </row>
    <row r="46" spans="1:57" ht="22.5" customHeight="1" x14ac:dyDescent="0.25">
      <c r="A46" s="3">
        <v>23</v>
      </c>
      <c r="B46" s="3" t="s">
        <v>55</v>
      </c>
      <c r="C46" s="3" t="s">
        <v>47</v>
      </c>
      <c r="D46" s="3" t="s">
        <v>56</v>
      </c>
      <c r="E46" s="3" t="s">
        <v>49</v>
      </c>
      <c r="F46" s="3">
        <v>0</v>
      </c>
      <c r="G46" s="3">
        <v>0</v>
      </c>
      <c r="H46" s="3">
        <v>0</v>
      </c>
      <c r="I46" s="3">
        <v>0</v>
      </c>
      <c r="J46" s="3" t="s">
        <v>36</v>
      </c>
      <c r="K46" s="3">
        <f t="shared" si="25"/>
        <v>0</v>
      </c>
      <c r="L46" s="3">
        <f t="shared" si="26"/>
        <v>0</v>
      </c>
      <c r="M46" s="3">
        <f t="shared" si="27"/>
        <v>1</v>
      </c>
      <c r="N46" s="3">
        <f t="shared" si="28"/>
        <v>0</v>
      </c>
      <c r="O46" s="3">
        <f>IF(ISNUMBER(SEARCH("My friends influence me",$R46)),1,0)</f>
        <v>0</v>
      </c>
      <c r="P46" s="3">
        <f ca="1">IF($R46="","",IF(SUM(Form_Responses3[[#This Row],[moti_makefriends]:[moti_friendsinfluence]])=0,1,IF(COUNTA(textsplit(R46,","))&gt;SUM(Form_Responses3[[#This Row],[moti_makefriends]:[moti_friendsinfluence]]),1,0)))</f>
        <v>0</v>
      </c>
      <c r="Q46" s="3"/>
      <c r="R46" s="3" t="s">
        <v>75</v>
      </c>
      <c r="S46" s="3">
        <f t="shared" si="30"/>
        <v>1</v>
      </c>
      <c r="T46" s="3">
        <f t="shared" si="31"/>
        <v>1</v>
      </c>
      <c r="U46" s="3">
        <f t="shared" si="32"/>
        <v>0</v>
      </c>
      <c r="V46" s="3">
        <f t="shared" si="33"/>
        <v>0</v>
      </c>
      <c r="W46" s="3">
        <f t="shared" si="34"/>
        <v>0</v>
      </c>
      <c r="X46" s="3">
        <f t="shared" si="35"/>
        <v>0</v>
      </c>
      <c r="Y46" s="3">
        <f t="shared" si="36"/>
        <v>1</v>
      </c>
      <c r="Z46" s="3"/>
      <c r="AA46" s="3" t="s">
        <v>72</v>
      </c>
      <c r="AB46" s="3">
        <v>4</v>
      </c>
      <c r="AC46" s="3">
        <v>4</v>
      </c>
      <c r="AD46" s="3">
        <v>4</v>
      </c>
      <c r="AE46" s="3">
        <v>4</v>
      </c>
      <c r="AF46" s="3">
        <v>4</v>
      </c>
      <c r="AG46" s="3">
        <v>4</v>
      </c>
      <c r="AH46" s="3">
        <v>4</v>
      </c>
      <c r="AI46" t="s">
        <v>232</v>
      </c>
      <c r="AJ46" t="s">
        <v>232</v>
      </c>
      <c r="AK46" t="s">
        <v>232</v>
      </c>
      <c r="AL46" t="s">
        <v>232</v>
      </c>
      <c r="AM46">
        <f t="shared" si="37"/>
        <v>0</v>
      </c>
      <c r="AN46">
        <f t="shared" si="38"/>
        <v>0</v>
      </c>
      <c r="AO46">
        <f t="shared" si="39"/>
        <v>1</v>
      </c>
      <c r="AP46">
        <f t="shared" si="40"/>
        <v>0</v>
      </c>
      <c r="AQ46">
        <f t="shared" si="41"/>
        <v>0</v>
      </c>
      <c r="AR46">
        <f t="shared" si="42"/>
        <v>0</v>
      </c>
      <c r="AS46">
        <f t="shared" si="43"/>
        <v>0</v>
      </c>
      <c r="AU46" s="3" t="s">
        <v>133</v>
      </c>
      <c r="AV46" s="3" t="s">
        <v>43</v>
      </c>
      <c r="AW46" s="3" t="s">
        <v>232</v>
      </c>
      <c r="AX46" s="3" t="s">
        <v>232</v>
      </c>
      <c r="AY46" s="3" t="s">
        <v>232</v>
      </c>
      <c r="AZ46" s="3" t="s">
        <v>232</v>
      </c>
      <c r="BA46" s="3" t="s">
        <v>232</v>
      </c>
      <c r="BB46" s="3" t="s">
        <v>232</v>
      </c>
      <c r="BD46" s="3" t="s">
        <v>64</v>
      </c>
      <c r="BE46" s="3">
        <v>3</v>
      </c>
    </row>
    <row r="47" spans="1:57" ht="22.5" customHeight="1" x14ac:dyDescent="0.25">
      <c r="A47" s="3">
        <v>23</v>
      </c>
      <c r="B47" s="3" t="s">
        <v>31</v>
      </c>
      <c r="C47" s="3" t="s">
        <v>47</v>
      </c>
      <c r="D47" s="3" t="s">
        <v>56</v>
      </c>
      <c r="E47" s="3" t="s">
        <v>155</v>
      </c>
      <c r="F47" s="3">
        <v>1</v>
      </c>
      <c r="G47" s="3" t="s">
        <v>50</v>
      </c>
      <c r="H47" s="3">
        <v>0</v>
      </c>
      <c r="I47" s="3" t="s">
        <v>50</v>
      </c>
      <c r="J47" s="3" t="s">
        <v>36</v>
      </c>
      <c r="K47" s="3">
        <f t="shared" si="25"/>
        <v>0</v>
      </c>
      <c r="L47" s="3">
        <f t="shared" si="26"/>
        <v>0</v>
      </c>
      <c r="M47" s="3">
        <f t="shared" si="27"/>
        <v>1</v>
      </c>
      <c r="N47" s="3">
        <f t="shared" si="28"/>
        <v>0</v>
      </c>
      <c r="O47" s="3">
        <f t="shared" si="29"/>
        <v>0</v>
      </c>
      <c r="P47" s="3">
        <f ca="1">IF($R47="","",IF(SUM(Form_Responses3[[#This Row],[moti_makefriends]:[moti_friendsinfluence]])=0,1,IF(COUNTA(textsplit(R47,","))&gt;SUM(Form_Responses3[[#This Row],[moti_makefriends]:[moti_friendsinfluence]]),1,0)))</f>
        <v>0</v>
      </c>
      <c r="Q47" s="3"/>
      <c r="R47" s="3" t="s">
        <v>75</v>
      </c>
      <c r="S47" s="3">
        <f t="shared" si="30"/>
        <v>1</v>
      </c>
      <c r="T47" s="3">
        <f t="shared" si="31"/>
        <v>0</v>
      </c>
      <c r="U47" s="3">
        <f t="shared" si="32"/>
        <v>0</v>
      </c>
      <c r="V47" s="3">
        <f t="shared" si="33"/>
        <v>0</v>
      </c>
      <c r="W47" s="3">
        <f t="shared" si="34"/>
        <v>0</v>
      </c>
      <c r="X47" s="3">
        <f t="shared" si="35"/>
        <v>0</v>
      </c>
      <c r="Y47" s="3">
        <f t="shared" si="36"/>
        <v>0</v>
      </c>
      <c r="Z47" s="3"/>
      <c r="AA47" s="3" t="s">
        <v>156</v>
      </c>
      <c r="AB47" s="3">
        <v>3</v>
      </c>
      <c r="AC47" s="3">
        <v>3</v>
      </c>
      <c r="AD47" s="3">
        <v>3</v>
      </c>
      <c r="AE47" s="3">
        <v>3</v>
      </c>
      <c r="AF47" s="3">
        <v>1</v>
      </c>
      <c r="AG47" s="3">
        <v>2</v>
      </c>
      <c r="AH47" s="3">
        <v>3</v>
      </c>
      <c r="AI47" t="s">
        <v>232</v>
      </c>
      <c r="AJ47" t="s">
        <v>232</v>
      </c>
      <c r="AK47" t="s">
        <v>232</v>
      </c>
      <c r="AL47" t="s">
        <v>232</v>
      </c>
      <c r="AM47">
        <f t="shared" si="37"/>
        <v>0</v>
      </c>
      <c r="AN47">
        <f t="shared" si="38"/>
        <v>1</v>
      </c>
      <c r="AO47">
        <f t="shared" si="39"/>
        <v>0</v>
      </c>
      <c r="AP47">
        <f t="shared" si="40"/>
        <v>0</v>
      </c>
      <c r="AQ47">
        <f t="shared" si="41"/>
        <v>0</v>
      </c>
      <c r="AR47">
        <f t="shared" si="42"/>
        <v>0</v>
      </c>
      <c r="AS47">
        <f t="shared" si="43"/>
        <v>0</v>
      </c>
      <c r="AU47" s="3" t="s">
        <v>157</v>
      </c>
      <c r="AV47" s="3" t="s">
        <v>43</v>
      </c>
      <c r="AW47" s="3" t="s">
        <v>232</v>
      </c>
      <c r="AX47" s="3" t="s">
        <v>232</v>
      </c>
      <c r="AY47" s="3" t="s">
        <v>232</v>
      </c>
      <c r="AZ47" s="3" t="s">
        <v>232</v>
      </c>
      <c r="BA47" s="3" t="s">
        <v>232</v>
      </c>
      <c r="BB47" s="3" t="s">
        <v>232</v>
      </c>
      <c r="BD47" s="3" t="s">
        <v>45</v>
      </c>
    </row>
    <row r="48" spans="1:57" ht="22.5" customHeight="1" x14ac:dyDescent="0.25">
      <c r="A48" s="3">
        <v>23</v>
      </c>
      <c r="B48" s="3" t="s">
        <v>55</v>
      </c>
      <c r="C48" s="3" t="s">
        <v>47</v>
      </c>
      <c r="D48" s="3" t="s">
        <v>56</v>
      </c>
      <c r="E48" s="3" t="s">
        <v>34</v>
      </c>
      <c r="F48" s="3">
        <v>1</v>
      </c>
      <c r="G48" s="3" t="s">
        <v>35</v>
      </c>
      <c r="H48" s="3">
        <v>1</v>
      </c>
      <c r="I48" s="3" t="s">
        <v>50</v>
      </c>
      <c r="J48" s="3" t="s">
        <v>51</v>
      </c>
      <c r="K48" s="3">
        <f t="shared" si="25"/>
        <v>1</v>
      </c>
      <c r="L48" s="3">
        <f t="shared" si="26"/>
        <v>0</v>
      </c>
      <c r="M48" s="3">
        <f t="shared" si="27"/>
        <v>1</v>
      </c>
      <c r="N48" s="3">
        <f t="shared" si="28"/>
        <v>0</v>
      </c>
      <c r="O48" s="3">
        <f t="shared" si="29"/>
        <v>1</v>
      </c>
      <c r="P48" s="3">
        <f ca="1">IF($R48="","",IF(SUM(Form_Responses3[[#This Row],[moti_makefriends]:[moti_friendsinfluence]])=0,1,IF(COUNTA(textsplit(R48,","))&gt;SUM(Form_Responses3[[#This Row],[moti_makefriends]:[moti_friendsinfluence]]),1,0)))</f>
        <v>0</v>
      </c>
      <c r="Q48" s="3"/>
      <c r="R48" s="3" t="s">
        <v>159</v>
      </c>
      <c r="S48" s="3">
        <f t="shared" si="30"/>
        <v>1</v>
      </c>
      <c r="T48" s="3">
        <f t="shared" si="31"/>
        <v>1</v>
      </c>
      <c r="U48" s="3">
        <f t="shared" si="32"/>
        <v>0</v>
      </c>
      <c r="V48" s="3">
        <f t="shared" si="33"/>
        <v>0</v>
      </c>
      <c r="W48" s="3">
        <f t="shared" si="34"/>
        <v>0</v>
      </c>
      <c r="X48" s="3">
        <f t="shared" si="35"/>
        <v>0</v>
      </c>
      <c r="Y48" s="3">
        <f t="shared" si="36"/>
        <v>0</v>
      </c>
      <c r="Z48" s="3"/>
      <c r="AA48" s="3" t="s">
        <v>70</v>
      </c>
      <c r="AB48" s="3">
        <v>4</v>
      </c>
      <c r="AC48" s="3">
        <v>4</v>
      </c>
      <c r="AD48" s="3">
        <v>4</v>
      </c>
      <c r="AE48" s="3">
        <v>4</v>
      </c>
      <c r="AF48" s="3">
        <v>2</v>
      </c>
      <c r="AG48" s="3">
        <v>4</v>
      </c>
      <c r="AH48" s="3">
        <v>4</v>
      </c>
      <c r="AI48" s="3" t="s">
        <v>43</v>
      </c>
      <c r="AJ48" s="3" t="s">
        <v>41</v>
      </c>
      <c r="AK48" s="3" t="s">
        <v>41</v>
      </c>
      <c r="AL48" s="3" t="s">
        <v>41</v>
      </c>
      <c r="AM48" s="3">
        <f t="shared" si="37"/>
        <v>1</v>
      </c>
      <c r="AN48" s="3">
        <f t="shared" si="38"/>
        <v>1</v>
      </c>
      <c r="AO48" s="3">
        <f t="shared" si="39"/>
        <v>0</v>
      </c>
      <c r="AP48" s="3">
        <f t="shared" si="40"/>
        <v>1</v>
      </c>
      <c r="AQ48" s="3">
        <f t="shared" si="41"/>
        <v>0</v>
      </c>
      <c r="AR48" s="3">
        <f t="shared" si="42"/>
        <v>0</v>
      </c>
      <c r="AS48" s="3">
        <f t="shared" si="43"/>
        <v>1</v>
      </c>
      <c r="AT48" s="3"/>
      <c r="AU48" s="3" t="s">
        <v>160</v>
      </c>
      <c r="AV48" s="3" t="s">
        <v>39</v>
      </c>
      <c r="AW48" s="3">
        <f t="shared" si="44"/>
        <v>1</v>
      </c>
      <c r="AX48" s="3">
        <f t="shared" si="45"/>
        <v>1</v>
      </c>
      <c r="AY48" s="3">
        <f t="shared" si="46"/>
        <v>1</v>
      </c>
      <c r="AZ48" s="3">
        <f t="shared" si="47"/>
        <v>0</v>
      </c>
      <c r="BA48" s="3">
        <f t="shared" si="48"/>
        <v>0</v>
      </c>
      <c r="BB48" s="3">
        <f t="shared" si="49"/>
        <v>0</v>
      </c>
      <c r="BC48" s="3" t="s">
        <v>63</v>
      </c>
      <c r="BD48" s="3" t="s">
        <v>64</v>
      </c>
      <c r="BE48" s="3">
        <v>3</v>
      </c>
    </row>
    <row r="49" spans="1:57" ht="22.5" customHeight="1" x14ac:dyDescent="0.25">
      <c r="A49" s="3">
        <v>23</v>
      </c>
      <c r="B49" s="3" t="s">
        <v>55</v>
      </c>
      <c r="C49" s="3" t="s">
        <v>32</v>
      </c>
      <c r="D49" s="3" t="s">
        <v>33</v>
      </c>
      <c r="E49" s="3" t="s">
        <v>49</v>
      </c>
      <c r="F49" s="3">
        <v>0</v>
      </c>
      <c r="G49" s="3">
        <v>0</v>
      </c>
      <c r="H49" s="3">
        <v>0</v>
      </c>
      <c r="I49" s="3">
        <v>0</v>
      </c>
      <c r="J49" s="3" t="s">
        <v>36</v>
      </c>
      <c r="K49" s="3">
        <f t="shared" si="25"/>
        <v>1</v>
      </c>
      <c r="L49" s="3">
        <f t="shared" si="26"/>
        <v>0</v>
      </c>
      <c r="M49" s="3">
        <f t="shared" si="27"/>
        <v>1</v>
      </c>
      <c r="N49" s="3">
        <f t="shared" si="28"/>
        <v>0</v>
      </c>
      <c r="O49" s="3">
        <f t="shared" si="29"/>
        <v>0</v>
      </c>
      <c r="P49" s="3">
        <f ca="1">IF($R49="","",IF(SUM(Form_Responses3[[#This Row],[moti_makefriends]:[moti_friendsinfluence]])=0,1,IF(COUNTA(textsplit(R49,","))&gt;SUM(Form_Responses3[[#This Row],[moti_makefriends]:[moti_friendsinfluence]]),1,0)))</f>
        <v>0</v>
      </c>
      <c r="Q49" s="3"/>
      <c r="R49" s="3" t="s">
        <v>137</v>
      </c>
      <c r="S49" s="3">
        <f t="shared" si="30"/>
        <v>1</v>
      </c>
      <c r="T49" s="3">
        <f t="shared" si="31"/>
        <v>0</v>
      </c>
      <c r="U49" s="3">
        <f t="shared" si="32"/>
        <v>0</v>
      </c>
      <c r="V49" s="3">
        <f t="shared" si="33"/>
        <v>0</v>
      </c>
      <c r="W49" s="3">
        <f t="shared" si="34"/>
        <v>0</v>
      </c>
      <c r="X49" s="3">
        <f t="shared" si="35"/>
        <v>0</v>
      </c>
      <c r="Y49" s="3">
        <f t="shared" si="36"/>
        <v>0</v>
      </c>
      <c r="Z49" s="3"/>
      <c r="AA49" s="3" t="s">
        <v>112</v>
      </c>
      <c r="AB49" s="3">
        <v>5</v>
      </c>
      <c r="AC49" s="3">
        <v>5</v>
      </c>
      <c r="AD49" s="3">
        <v>5</v>
      </c>
      <c r="AE49" s="3">
        <v>5</v>
      </c>
      <c r="AF49" s="3">
        <v>4</v>
      </c>
      <c r="AG49" s="3">
        <v>5</v>
      </c>
      <c r="AH49" s="3">
        <v>4</v>
      </c>
      <c r="AI49" t="s">
        <v>232</v>
      </c>
      <c r="AJ49" t="s">
        <v>232</v>
      </c>
      <c r="AK49" t="s">
        <v>232</v>
      </c>
      <c r="AL49" t="s">
        <v>232</v>
      </c>
      <c r="AM49">
        <f t="shared" si="37"/>
        <v>0</v>
      </c>
      <c r="AN49">
        <f t="shared" si="38"/>
        <v>1</v>
      </c>
      <c r="AO49">
        <f t="shared" si="39"/>
        <v>0</v>
      </c>
      <c r="AP49">
        <f t="shared" si="40"/>
        <v>0</v>
      </c>
      <c r="AQ49">
        <f t="shared" si="41"/>
        <v>0</v>
      </c>
      <c r="AR49">
        <f t="shared" si="42"/>
        <v>0</v>
      </c>
      <c r="AS49">
        <f t="shared" si="43"/>
        <v>1</v>
      </c>
      <c r="AU49" s="3" t="s">
        <v>161</v>
      </c>
      <c r="AV49" s="3" t="s">
        <v>43</v>
      </c>
      <c r="AW49" s="3" t="s">
        <v>232</v>
      </c>
      <c r="AX49" s="3" t="s">
        <v>232</v>
      </c>
      <c r="AY49" s="3" t="s">
        <v>232</v>
      </c>
      <c r="AZ49" s="3" t="s">
        <v>232</v>
      </c>
      <c r="BA49" s="3" t="s">
        <v>232</v>
      </c>
      <c r="BB49" s="3" t="s">
        <v>232</v>
      </c>
      <c r="BD49" s="3" t="s">
        <v>64</v>
      </c>
    </row>
    <row r="50" spans="1:57" ht="22.5" customHeight="1" x14ac:dyDescent="0.25">
      <c r="A50" s="3">
        <v>24</v>
      </c>
      <c r="B50" s="3" t="s">
        <v>55</v>
      </c>
      <c r="C50" s="3" t="s">
        <v>32</v>
      </c>
      <c r="D50" s="3" t="s">
        <v>33</v>
      </c>
      <c r="E50" s="3" t="s">
        <v>49</v>
      </c>
      <c r="F50" s="3">
        <v>0</v>
      </c>
      <c r="G50" s="3">
        <v>0</v>
      </c>
      <c r="H50" s="3">
        <v>0</v>
      </c>
      <c r="I50" s="3">
        <v>0</v>
      </c>
      <c r="J50" s="3" t="s">
        <v>36</v>
      </c>
      <c r="K50" s="3">
        <f t="shared" si="25"/>
        <v>1</v>
      </c>
      <c r="L50" s="3">
        <f t="shared" si="26"/>
        <v>1</v>
      </c>
      <c r="M50" s="3">
        <f t="shared" si="27"/>
        <v>1</v>
      </c>
      <c r="N50" s="3">
        <f t="shared" si="28"/>
        <v>0</v>
      </c>
      <c r="O50" s="3">
        <f t="shared" si="29"/>
        <v>0</v>
      </c>
      <c r="P50" s="3">
        <f ca="1">IF($R50="","",IF(SUM(Form_Responses3[[#This Row],[moti_makefriends]:[moti_friendsinfluence]])=0,1,IF(COUNTA(textsplit(R50,","))&gt;SUM(Form_Responses3[[#This Row],[moti_makefriends]:[moti_friendsinfluence]]),1,0)))</f>
        <v>0</v>
      </c>
      <c r="Q50" s="3"/>
      <c r="R50" s="3" t="s">
        <v>93</v>
      </c>
      <c r="S50" s="3">
        <f t="shared" si="30"/>
        <v>1</v>
      </c>
      <c r="T50" s="3">
        <f t="shared" si="31"/>
        <v>1</v>
      </c>
      <c r="U50" s="3">
        <f t="shared" si="32"/>
        <v>0</v>
      </c>
      <c r="V50" s="3">
        <f t="shared" si="33"/>
        <v>0</v>
      </c>
      <c r="W50" s="3">
        <f t="shared" si="34"/>
        <v>0</v>
      </c>
      <c r="X50" s="3">
        <f t="shared" si="35"/>
        <v>0</v>
      </c>
      <c r="Y50" s="3">
        <f t="shared" si="36"/>
        <v>0</v>
      </c>
      <c r="Z50" s="3"/>
      <c r="AA50" s="3" t="s">
        <v>70</v>
      </c>
      <c r="AB50" s="3">
        <v>4</v>
      </c>
      <c r="AC50" s="3">
        <v>4</v>
      </c>
      <c r="AD50" s="3">
        <v>4</v>
      </c>
      <c r="AE50" s="3">
        <v>5</v>
      </c>
      <c r="AF50" s="3">
        <v>4</v>
      </c>
      <c r="AG50" s="3">
        <v>4</v>
      </c>
      <c r="AH50" s="3">
        <v>4</v>
      </c>
      <c r="AI50" t="s">
        <v>232</v>
      </c>
      <c r="AJ50" t="s">
        <v>232</v>
      </c>
      <c r="AK50" t="s">
        <v>232</v>
      </c>
      <c r="AL50" t="s">
        <v>232</v>
      </c>
      <c r="AM50">
        <f t="shared" si="37"/>
        <v>0</v>
      </c>
      <c r="AN50">
        <f t="shared" si="38"/>
        <v>1</v>
      </c>
      <c r="AO50">
        <f t="shared" si="39"/>
        <v>0</v>
      </c>
      <c r="AP50">
        <f t="shared" si="40"/>
        <v>0</v>
      </c>
      <c r="AQ50">
        <f t="shared" si="41"/>
        <v>0</v>
      </c>
      <c r="AR50">
        <f t="shared" si="42"/>
        <v>0</v>
      </c>
      <c r="AS50">
        <f t="shared" si="43"/>
        <v>1</v>
      </c>
      <c r="AU50" s="3" t="s">
        <v>161</v>
      </c>
      <c r="AV50" s="3" t="s">
        <v>43</v>
      </c>
      <c r="AW50" s="3" t="s">
        <v>232</v>
      </c>
      <c r="AX50" s="3" t="s">
        <v>232</v>
      </c>
      <c r="AY50" s="3" t="s">
        <v>232</v>
      </c>
      <c r="AZ50" s="3" t="s">
        <v>232</v>
      </c>
      <c r="BA50" s="3" t="s">
        <v>232</v>
      </c>
      <c r="BB50" s="3" t="s">
        <v>232</v>
      </c>
      <c r="BD50" s="3" t="s">
        <v>64</v>
      </c>
      <c r="BE50" s="3">
        <v>3</v>
      </c>
    </row>
    <row r="51" spans="1:57" ht="22.5" customHeight="1" x14ac:dyDescent="0.25">
      <c r="A51" s="3">
        <v>23</v>
      </c>
      <c r="B51" s="3" t="s">
        <v>31</v>
      </c>
      <c r="C51" s="3" t="s">
        <v>47</v>
      </c>
      <c r="D51" s="3" t="s">
        <v>79</v>
      </c>
      <c r="E51" s="3" t="s">
        <v>49</v>
      </c>
      <c r="F51" s="3">
        <v>0</v>
      </c>
      <c r="G51" s="3" t="s">
        <v>50</v>
      </c>
      <c r="H51" s="3">
        <v>0</v>
      </c>
      <c r="I51" s="3" t="s">
        <v>35</v>
      </c>
      <c r="J51" s="3" t="s">
        <v>36</v>
      </c>
      <c r="K51" s="3">
        <f t="shared" si="25"/>
        <v>0</v>
      </c>
      <c r="L51" s="3">
        <f t="shared" si="26"/>
        <v>1</v>
      </c>
      <c r="M51" s="3">
        <f t="shared" si="27"/>
        <v>1</v>
      </c>
      <c r="N51" s="3">
        <f t="shared" si="28"/>
        <v>0</v>
      </c>
      <c r="O51" s="3">
        <f t="shared" si="29"/>
        <v>1</v>
      </c>
      <c r="P51" s="3">
        <f ca="1">IF($R51="","",IF(SUM(Form_Responses3[[#This Row],[moti_makefriends]:[moti_friendsinfluence]])=0,1,IF(COUNTA(textsplit(R51,","))&gt;SUM(Form_Responses3[[#This Row],[moti_makefriends]:[moti_friendsinfluence]]),1,0)))</f>
        <v>0</v>
      </c>
      <c r="Q51" s="3"/>
      <c r="R51" s="3" t="s">
        <v>162</v>
      </c>
      <c r="S51" s="3">
        <f t="shared" si="30"/>
        <v>1</v>
      </c>
      <c r="T51" s="3">
        <f t="shared" si="31"/>
        <v>1</v>
      </c>
      <c r="U51" s="3">
        <f t="shared" si="32"/>
        <v>0</v>
      </c>
      <c r="V51" s="3">
        <f t="shared" si="33"/>
        <v>0</v>
      </c>
      <c r="W51" s="3">
        <f t="shared" si="34"/>
        <v>1</v>
      </c>
      <c r="X51" s="3">
        <f t="shared" si="35"/>
        <v>1</v>
      </c>
      <c r="Y51" s="3">
        <f t="shared" si="36"/>
        <v>0</v>
      </c>
      <c r="Z51" s="3"/>
      <c r="AA51" s="3" t="s">
        <v>86</v>
      </c>
      <c r="AB51" s="3">
        <v>4</v>
      </c>
      <c r="AC51" s="3">
        <v>3</v>
      </c>
      <c r="AD51" s="3">
        <v>2</v>
      </c>
      <c r="AE51" s="3">
        <v>4</v>
      </c>
      <c r="AF51" s="3">
        <v>4</v>
      </c>
      <c r="AG51" s="3">
        <v>4</v>
      </c>
      <c r="AH51" s="3">
        <v>2</v>
      </c>
      <c r="AI51" t="s">
        <v>232</v>
      </c>
      <c r="AJ51" t="s">
        <v>232</v>
      </c>
      <c r="AK51" t="s">
        <v>232</v>
      </c>
      <c r="AL51" t="s">
        <v>232</v>
      </c>
      <c r="AM51">
        <f t="shared" si="37"/>
        <v>1</v>
      </c>
      <c r="AN51">
        <f t="shared" si="38"/>
        <v>1</v>
      </c>
      <c r="AO51">
        <f t="shared" si="39"/>
        <v>0</v>
      </c>
      <c r="AP51">
        <f t="shared" si="40"/>
        <v>1</v>
      </c>
      <c r="AQ51">
        <f t="shared" si="41"/>
        <v>1</v>
      </c>
      <c r="AR51">
        <f t="shared" si="42"/>
        <v>0</v>
      </c>
      <c r="AS51">
        <f t="shared" si="43"/>
        <v>0</v>
      </c>
      <c r="AU51" s="3" t="s">
        <v>163</v>
      </c>
      <c r="AV51" s="3" t="s">
        <v>82</v>
      </c>
      <c r="AW51" s="3">
        <f t="shared" si="44"/>
        <v>1</v>
      </c>
      <c r="AX51" s="3">
        <f t="shared" si="45"/>
        <v>1</v>
      </c>
      <c r="AY51" s="3">
        <f t="shared" si="46"/>
        <v>1</v>
      </c>
      <c r="AZ51" s="3">
        <f t="shared" si="47"/>
        <v>1</v>
      </c>
      <c r="BA51" s="3">
        <f t="shared" si="48"/>
        <v>1</v>
      </c>
      <c r="BB51" s="3">
        <f t="shared" si="49"/>
        <v>1</v>
      </c>
      <c r="BC51" s="3" t="s">
        <v>164</v>
      </c>
      <c r="BD51" s="3" t="s">
        <v>45</v>
      </c>
    </row>
    <row r="52" spans="1:57" ht="22.5" customHeight="1" x14ac:dyDescent="0.25">
      <c r="A52" s="3">
        <v>23</v>
      </c>
      <c r="B52" s="3" t="s">
        <v>55</v>
      </c>
      <c r="C52" s="3" t="s">
        <v>47</v>
      </c>
      <c r="D52" s="3" t="s">
        <v>79</v>
      </c>
      <c r="E52" s="3" t="s">
        <v>49</v>
      </c>
      <c r="F52" s="3">
        <v>0</v>
      </c>
      <c r="G52" s="3">
        <v>0</v>
      </c>
      <c r="H52" s="3">
        <v>0</v>
      </c>
      <c r="I52" s="3" t="s">
        <v>35</v>
      </c>
      <c r="J52" s="3" t="s">
        <v>36</v>
      </c>
      <c r="K52" s="3">
        <f t="shared" si="25"/>
        <v>1</v>
      </c>
      <c r="L52" s="3">
        <f t="shared" si="26"/>
        <v>1</v>
      </c>
      <c r="M52" s="3">
        <f t="shared" si="27"/>
        <v>0</v>
      </c>
      <c r="N52" s="3">
        <f t="shared" si="28"/>
        <v>1</v>
      </c>
      <c r="O52" s="3">
        <f t="shared" si="29"/>
        <v>0</v>
      </c>
      <c r="P52" s="3">
        <f ca="1">IF($R52="","",IF(SUM(Form_Responses3[[#This Row],[moti_makefriends]:[moti_friendsinfluence]])=0,1,IF(COUNTA(textsplit(R52,","))&gt;SUM(Form_Responses3[[#This Row],[moti_makefriends]:[moti_friendsinfluence]]),1,0)))</f>
        <v>0</v>
      </c>
      <c r="Q52" s="3"/>
      <c r="R52" s="3" t="s">
        <v>165</v>
      </c>
      <c r="S52" s="3">
        <f t="shared" si="30"/>
        <v>0</v>
      </c>
      <c r="T52" s="3">
        <f t="shared" si="31"/>
        <v>0</v>
      </c>
      <c r="U52" s="3">
        <f t="shared" si="32"/>
        <v>1</v>
      </c>
      <c r="V52" s="3">
        <f t="shared" si="33"/>
        <v>0</v>
      </c>
      <c r="W52" s="3">
        <f t="shared" si="34"/>
        <v>1</v>
      </c>
      <c r="X52" s="3">
        <f t="shared" si="35"/>
        <v>1</v>
      </c>
      <c r="Y52" s="3">
        <f t="shared" si="36"/>
        <v>0</v>
      </c>
      <c r="Z52" s="3"/>
      <c r="AA52" s="3" t="s">
        <v>166</v>
      </c>
      <c r="AB52" s="3">
        <v>1</v>
      </c>
      <c r="AC52" s="3">
        <v>2</v>
      </c>
      <c r="AD52" s="3">
        <v>1</v>
      </c>
      <c r="AE52" s="3">
        <v>1</v>
      </c>
      <c r="AF52" s="3">
        <v>3</v>
      </c>
      <c r="AG52" s="3">
        <v>1</v>
      </c>
      <c r="AH52" s="3">
        <v>1</v>
      </c>
      <c r="AI52" t="s">
        <v>232</v>
      </c>
      <c r="AJ52" t="s">
        <v>232</v>
      </c>
      <c r="AK52" t="s">
        <v>232</v>
      </c>
      <c r="AL52" t="s">
        <v>232</v>
      </c>
      <c r="AM52">
        <f t="shared" si="37"/>
        <v>1</v>
      </c>
      <c r="AN52">
        <f t="shared" si="38"/>
        <v>1</v>
      </c>
      <c r="AO52">
        <f t="shared" si="39"/>
        <v>1</v>
      </c>
      <c r="AP52">
        <f t="shared" si="40"/>
        <v>0</v>
      </c>
      <c r="AQ52">
        <f t="shared" si="41"/>
        <v>1</v>
      </c>
      <c r="AR52">
        <f t="shared" si="42"/>
        <v>1</v>
      </c>
      <c r="AS52">
        <f t="shared" si="43"/>
        <v>0</v>
      </c>
      <c r="AU52" s="3" t="s">
        <v>167</v>
      </c>
      <c r="AV52" s="3" t="s">
        <v>43</v>
      </c>
      <c r="AW52" s="3" t="s">
        <v>232</v>
      </c>
      <c r="AX52" s="3" t="s">
        <v>232</v>
      </c>
      <c r="AY52" s="3" t="s">
        <v>232</v>
      </c>
      <c r="AZ52" s="3" t="s">
        <v>232</v>
      </c>
      <c r="BA52" s="3" t="s">
        <v>232</v>
      </c>
      <c r="BB52" s="3" t="s">
        <v>232</v>
      </c>
      <c r="BC52" s="3" t="s">
        <v>91</v>
      </c>
      <c r="BD52" s="3" t="s">
        <v>45</v>
      </c>
    </row>
    <row r="53" spans="1:57" ht="22.5" customHeight="1" x14ac:dyDescent="0.25">
      <c r="A53" s="3">
        <v>24</v>
      </c>
      <c r="B53" s="3" t="s">
        <v>55</v>
      </c>
      <c r="C53" s="3" t="s">
        <v>32</v>
      </c>
      <c r="D53" s="3" t="s">
        <v>33</v>
      </c>
      <c r="E53" s="3" t="s">
        <v>34</v>
      </c>
      <c r="F53" s="3">
        <v>2</v>
      </c>
      <c r="G53" s="3" t="s">
        <v>50</v>
      </c>
      <c r="H53" s="3">
        <v>0</v>
      </c>
      <c r="I53" s="3">
        <v>0</v>
      </c>
      <c r="J53" s="3" t="s">
        <v>51</v>
      </c>
      <c r="K53" s="3">
        <f t="shared" si="25"/>
        <v>1</v>
      </c>
      <c r="L53" s="3">
        <f t="shared" si="26"/>
        <v>1</v>
      </c>
      <c r="M53" s="3">
        <f t="shared" si="27"/>
        <v>1</v>
      </c>
      <c r="N53" s="3">
        <f t="shared" si="28"/>
        <v>0</v>
      </c>
      <c r="O53" s="3">
        <f t="shared" si="29"/>
        <v>0</v>
      </c>
      <c r="P53" s="3">
        <f ca="1">IF($R53="","",IF(SUM(Form_Responses3[[#This Row],[moti_makefriends]:[moti_friendsinfluence]])=0,1,IF(COUNTA(textsplit(R53,","))&gt;SUM(Form_Responses3[[#This Row],[moti_makefriends]:[moti_friendsinfluence]]),1,0)))</f>
        <v>0</v>
      </c>
      <c r="Q53" s="3"/>
      <c r="R53" s="3" t="s">
        <v>93</v>
      </c>
      <c r="S53" s="3">
        <f t="shared" si="30"/>
        <v>1</v>
      </c>
      <c r="T53" s="3">
        <f t="shared" si="31"/>
        <v>1</v>
      </c>
      <c r="U53" s="3">
        <f t="shared" si="32"/>
        <v>0</v>
      </c>
      <c r="V53" s="3">
        <f t="shared" si="33"/>
        <v>0</v>
      </c>
      <c r="W53" s="3">
        <f t="shared" si="34"/>
        <v>0</v>
      </c>
      <c r="X53" s="3">
        <f t="shared" si="35"/>
        <v>0</v>
      </c>
      <c r="Y53" s="3">
        <f t="shared" si="36"/>
        <v>0</v>
      </c>
      <c r="Z53" s="3"/>
      <c r="AA53" s="3" t="s">
        <v>70</v>
      </c>
      <c r="AB53" s="3">
        <v>3</v>
      </c>
      <c r="AC53" s="3">
        <v>3</v>
      </c>
      <c r="AD53" s="3">
        <v>3</v>
      </c>
      <c r="AE53" s="3">
        <v>3</v>
      </c>
      <c r="AF53" s="3">
        <v>4</v>
      </c>
      <c r="AG53" s="3">
        <v>4</v>
      </c>
      <c r="AH53" s="3">
        <v>3</v>
      </c>
      <c r="AI53" s="3" t="s">
        <v>43</v>
      </c>
      <c r="AJ53" s="3" t="s">
        <v>40</v>
      </c>
      <c r="AK53" s="3" t="s">
        <v>68</v>
      </c>
      <c r="AL53" s="3" t="s">
        <v>68</v>
      </c>
      <c r="AM53" s="3">
        <f t="shared" si="37"/>
        <v>0</v>
      </c>
      <c r="AN53" s="3">
        <f t="shared" si="38"/>
        <v>1</v>
      </c>
      <c r="AO53" s="3">
        <f t="shared" si="39"/>
        <v>0</v>
      </c>
      <c r="AP53" s="3">
        <f t="shared" si="40"/>
        <v>1</v>
      </c>
      <c r="AQ53" s="3">
        <f t="shared" si="41"/>
        <v>0</v>
      </c>
      <c r="AR53" s="3">
        <f t="shared" si="42"/>
        <v>1</v>
      </c>
      <c r="AS53" s="3">
        <f t="shared" si="43"/>
        <v>1</v>
      </c>
      <c r="AT53" s="3"/>
      <c r="AU53" s="3" t="s">
        <v>101</v>
      </c>
      <c r="AV53" s="3" t="s">
        <v>43</v>
      </c>
      <c r="AW53" s="3" t="s">
        <v>232</v>
      </c>
      <c r="AX53" s="3" t="s">
        <v>232</v>
      </c>
      <c r="AY53" s="3" t="s">
        <v>232</v>
      </c>
      <c r="AZ53" s="3" t="s">
        <v>232</v>
      </c>
      <c r="BA53" s="3" t="s">
        <v>232</v>
      </c>
      <c r="BB53" s="3" t="s">
        <v>232</v>
      </c>
      <c r="BC53" s="3" t="s">
        <v>168</v>
      </c>
      <c r="BD53" s="3" t="s">
        <v>64</v>
      </c>
      <c r="BE53" s="3">
        <v>5</v>
      </c>
    </row>
    <row r="54" spans="1:57" ht="22.5" customHeight="1" x14ac:dyDescent="0.25">
      <c r="A54" s="3">
        <v>24</v>
      </c>
      <c r="B54" s="3" t="s">
        <v>55</v>
      </c>
      <c r="C54" s="3" t="s">
        <v>124</v>
      </c>
      <c r="D54" s="3" t="s">
        <v>79</v>
      </c>
      <c r="E54" s="3" t="s">
        <v>34</v>
      </c>
      <c r="F54" s="3">
        <v>2</v>
      </c>
      <c r="G54" s="3" t="s">
        <v>50</v>
      </c>
      <c r="H54" s="3">
        <v>0</v>
      </c>
      <c r="I54" s="3" t="s">
        <v>50</v>
      </c>
      <c r="J54" s="3" t="s">
        <v>36</v>
      </c>
      <c r="K54" s="3">
        <f t="shared" si="25"/>
        <v>1</v>
      </c>
      <c r="L54" s="3">
        <f t="shared" si="26"/>
        <v>1</v>
      </c>
      <c r="M54" s="3">
        <f t="shared" si="27"/>
        <v>1</v>
      </c>
      <c r="N54" s="3">
        <f t="shared" si="28"/>
        <v>0</v>
      </c>
      <c r="O54" s="3">
        <f t="shared" si="29"/>
        <v>0</v>
      </c>
      <c r="P54" s="3">
        <f ca="1">IF($R54="","",IF(SUM(Form_Responses3[[#This Row],[moti_makefriends]:[moti_friendsinfluence]])=0,1,IF(COUNTA(textsplit(R54,","))&gt;SUM(Form_Responses3[[#This Row],[moti_makefriends]:[moti_friendsinfluence]]),1,0)))</f>
        <v>0</v>
      </c>
      <c r="Q54" s="3"/>
      <c r="R54" s="3" t="s">
        <v>93</v>
      </c>
      <c r="S54" s="3">
        <f t="shared" si="30"/>
        <v>0</v>
      </c>
      <c r="T54" s="3">
        <f t="shared" si="31"/>
        <v>1</v>
      </c>
      <c r="U54" s="3">
        <f t="shared" si="32"/>
        <v>1</v>
      </c>
      <c r="V54" s="3">
        <f t="shared" si="33"/>
        <v>0</v>
      </c>
      <c r="W54" s="3">
        <f t="shared" si="34"/>
        <v>0</v>
      </c>
      <c r="X54" s="3">
        <f t="shared" si="35"/>
        <v>1</v>
      </c>
      <c r="Y54" s="3">
        <f t="shared" si="36"/>
        <v>0</v>
      </c>
      <c r="Z54" s="3"/>
      <c r="AA54" s="3" t="s">
        <v>169</v>
      </c>
      <c r="AB54" s="3">
        <v>4</v>
      </c>
      <c r="AC54" s="3">
        <v>4</v>
      </c>
      <c r="AD54" s="3">
        <v>4</v>
      </c>
      <c r="AE54" s="3">
        <v>4</v>
      </c>
      <c r="AF54" s="3">
        <v>4</v>
      </c>
      <c r="AG54" s="3">
        <v>4</v>
      </c>
      <c r="AH54" s="3">
        <v>3</v>
      </c>
      <c r="AI54" s="3" t="s">
        <v>43</v>
      </c>
      <c r="AJ54" s="3" t="s">
        <v>41</v>
      </c>
      <c r="AK54" s="3" t="s">
        <v>41</v>
      </c>
      <c r="AL54" s="3" t="s">
        <v>40</v>
      </c>
      <c r="AM54" s="3">
        <f t="shared" si="37"/>
        <v>0</v>
      </c>
      <c r="AN54" s="3">
        <f t="shared" si="38"/>
        <v>1</v>
      </c>
      <c r="AO54" s="3">
        <f t="shared" si="39"/>
        <v>0</v>
      </c>
      <c r="AP54" s="3">
        <f t="shared" si="40"/>
        <v>0</v>
      </c>
      <c r="AQ54" s="3">
        <f t="shared" si="41"/>
        <v>0</v>
      </c>
      <c r="AR54" s="3">
        <f t="shared" si="42"/>
        <v>1</v>
      </c>
      <c r="AS54" s="3">
        <f t="shared" si="43"/>
        <v>1</v>
      </c>
      <c r="AT54" s="3"/>
      <c r="AU54" s="3" t="s">
        <v>170</v>
      </c>
      <c r="AV54" s="3" t="s">
        <v>39</v>
      </c>
      <c r="AW54" s="3">
        <f t="shared" si="44"/>
        <v>1</v>
      </c>
      <c r="AX54" s="3">
        <f t="shared" si="45"/>
        <v>0</v>
      </c>
      <c r="AY54" s="3">
        <f t="shared" si="46"/>
        <v>1</v>
      </c>
      <c r="AZ54" s="3">
        <f t="shared" si="47"/>
        <v>0</v>
      </c>
      <c r="BA54" s="3">
        <f t="shared" si="48"/>
        <v>0</v>
      </c>
      <c r="BB54" s="3">
        <f t="shared" si="49"/>
        <v>1</v>
      </c>
      <c r="BC54" s="3" t="s">
        <v>171</v>
      </c>
      <c r="BD54" s="3" t="s">
        <v>64</v>
      </c>
      <c r="BE54" s="3">
        <v>4</v>
      </c>
    </row>
    <row r="55" spans="1:57" ht="22.5" customHeight="1" x14ac:dyDescent="0.25">
      <c r="A55" s="3">
        <v>23</v>
      </c>
      <c r="B55" s="3" t="s">
        <v>55</v>
      </c>
      <c r="C55" s="3" t="s">
        <v>32</v>
      </c>
      <c r="D55" s="3" t="s">
        <v>79</v>
      </c>
      <c r="E55" s="3" t="s">
        <v>49</v>
      </c>
      <c r="F55" s="3">
        <v>2</v>
      </c>
      <c r="G55" s="3">
        <v>0</v>
      </c>
      <c r="H55" s="3">
        <v>0</v>
      </c>
      <c r="I55" s="3">
        <v>0</v>
      </c>
      <c r="J55" s="3" t="s">
        <v>92</v>
      </c>
      <c r="K55" s="3">
        <f t="shared" si="25"/>
        <v>0</v>
      </c>
      <c r="L55" s="3">
        <f t="shared" si="26"/>
        <v>1</v>
      </c>
      <c r="M55" s="3">
        <f t="shared" si="27"/>
        <v>1</v>
      </c>
      <c r="N55" s="3">
        <f t="shared" si="28"/>
        <v>0</v>
      </c>
      <c r="O55" s="3">
        <f t="shared" si="29"/>
        <v>0</v>
      </c>
      <c r="P55" s="3">
        <f ca="1">IF($R55="","",IF(SUM(Form_Responses3[[#This Row],[moti_makefriends]:[moti_friendsinfluence]])=0,1,IF(COUNTA(textsplit(R55,","))&gt;SUM(Form_Responses3[[#This Row],[moti_makefriends]:[moti_friendsinfluence]]),1,0)))</f>
        <v>0</v>
      </c>
      <c r="Q55" s="3"/>
      <c r="R55" s="3" t="s">
        <v>99</v>
      </c>
      <c r="S55" s="3">
        <f t="shared" si="30"/>
        <v>0</v>
      </c>
      <c r="T55" s="3">
        <f t="shared" si="31"/>
        <v>0</v>
      </c>
      <c r="U55" s="3">
        <f t="shared" si="32"/>
        <v>0</v>
      </c>
      <c r="V55" s="3">
        <f t="shared" si="33"/>
        <v>0</v>
      </c>
      <c r="W55" s="3">
        <f t="shared" si="34"/>
        <v>0</v>
      </c>
      <c r="X55" s="3">
        <f t="shared" si="35"/>
        <v>0</v>
      </c>
      <c r="Y55" s="3">
        <f t="shared" si="36"/>
        <v>1</v>
      </c>
      <c r="Z55" s="3"/>
      <c r="AA55" s="3" t="s">
        <v>172</v>
      </c>
      <c r="AB55" s="3">
        <v>3</v>
      </c>
      <c r="AC55" s="3">
        <v>3</v>
      </c>
      <c r="AD55" s="3">
        <v>2</v>
      </c>
      <c r="AE55" s="3">
        <v>3</v>
      </c>
      <c r="AF55" s="3">
        <v>2</v>
      </c>
      <c r="AG55" s="3">
        <v>2</v>
      </c>
      <c r="AH55" s="3">
        <v>2</v>
      </c>
      <c r="AI55" t="s">
        <v>232</v>
      </c>
      <c r="AJ55" t="s">
        <v>232</v>
      </c>
      <c r="AK55" t="s">
        <v>232</v>
      </c>
      <c r="AL55" t="s">
        <v>232</v>
      </c>
      <c r="AM55">
        <f t="shared" si="37"/>
        <v>1</v>
      </c>
      <c r="AN55">
        <f t="shared" si="38"/>
        <v>0</v>
      </c>
      <c r="AO55">
        <f t="shared" si="39"/>
        <v>0</v>
      </c>
      <c r="AP55">
        <f t="shared" si="40"/>
        <v>0</v>
      </c>
      <c r="AQ55">
        <f t="shared" si="41"/>
        <v>0</v>
      </c>
      <c r="AR55">
        <f t="shared" si="42"/>
        <v>0</v>
      </c>
      <c r="AS55">
        <f t="shared" si="43"/>
        <v>0</v>
      </c>
      <c r="AU55" s="3" t="s">
        <v>153</v>
      </c>
      <c r="AV55" s="3" t="s">
        <v>82</v>
      </c>
      <c r="AW55" s="3">
        <f t="shared" si="44"/>
        <v>0</v>
      </c>
      <c r="AX55" s="3">
        <f t="shared" si="45"/>
        <v>0</v>
      </c>
      <c r="AY55" s="3">
        <f t="shared" si="46"/>
        <v>1</v>
      </c>
      <c r="AZ55" s="3">
        <f t="shared" si="47"/>
        <v>1</v>
      </c>
      <c r="BA55" s="3">
        <f t="shared" si="48"/>
        <v>0</v>
      </c>
      <c r="BB55" s="3">
        <f t="shared" si="49"/>
        <v>0</v>
      </c>
      <c r="BC55" s="3" t="s">
        <v>173</v>
      </c>
      <c r="BD55" s="3" t="s">
        <v>64</v>
      </c>
      <c r="BE55" s="3">
        <v>2</v>
      </c>
    </row>
    <row r="56" spans="1:57" ht="22.5" customHeight="1" x14ac:dyDescent="0.25">
      <c r="A56" s="3">
        <v>24</v>
      </c>
      <c r="B56" s="3" t="s">
        <v>55</v>
      </c>
      <c r="C56" s="3" t="s">
        <v>47</v>
      </c>
      <c r="D56" s="3" t="s">
        <v>56</v>
      </c>
      <c r="E56" s="3" t="s">
        <v>49</v>
      </c>
      <c r="F56" s="3">
        <v>1</v>
      </c>
      <c r="G56" s="3" t="s">
        <v>50</v>
      </c>
      <c r="H56" s="3">
        <v>0</v>
      </c>
      <c r="I56" s="3" t="s">
        <v>50</v>
      </c>
      <c r="J56" s="3" t="s">
        <v>92</v>
      </c>
      <c r="K56" s="3">
        <f t="shared" si="25"/>
        <v>0</v>
      </c>
      <c r="L56" s="3">
        <f t="shared" si="26"/>
        <v>1</v>
      </c>
      <c r="M56" s="3">
        <f t="shared" si="27"/>
        <v>1</v>
      </c>
      <c r="N56" s="3">
        <f t="shared" si="28"/>
        <v>0</v>
      </c>
      <c r="O56" s="3">
        <f t="shared" si="29"/>
        <v>0</v>
      </c>
      <c r="P56" s="3">
        <f ca="1">IF($R56="","",IF(SUM(Form_Responses3[[#This Row],[moti_makefriends]:[moti_friendsinfluence]])=0,1,IF(COUNTA(textsplit(R56,","))&gt;SUM(Form_Responses3[[#This Row],[moti_makefriends]:[moti_friendsinfluence]]),1,0)))</f>
        <v>0</v>
      </c>
      <c r="Q56" s="3"/>
      <c r="R56" s="3" t="s">
        <v>99</v>
      </c>
      <c r="S56" s="3">
        <f t="shared" si="30"/>
        <v>0</v>
      </c>
      <c r="T56" s="3">
        <f t="shared" si="31"/>
        <v>1</v>
      </c>
      <c r="U56" s="3">
        <f t="shared" si="32"/>
        <v>1</v>
      </c>
      <c r="V56" s="3">
        <f t="shared" si="33"/>
        <v>0</v>
      </c>
      <c r="W56" s="3">
        <f t="shared" si="34"/>
        <v>0</v>
      </c>
      <c r="X56" s="3">
        <f t="shared" si="35"/>
        <v>0</v>
      </c>
      <c r="Y56" s="3">
        <f t="shared" si="36"/>
        <v>0</v>
      </c>
      <c r="Z56" s="3"/>
      <c r="AA56" s="3" t="s">
        <v>174</v>
      </c>
      <c r="AB56" s="3">
        <v>2</v>
      </c>
      <c r="AC56" s="3">
        <v>2</v>
      </c>
      <c r="AD56" s="3">
        <v>4</v>
      </c>
      <c r="AE56" s="3">
        <v>2</v>
      </c>
      <c r="AF56" s="3">
        <v>4</v>
      </c>
      <c r="AG56" s="3">
        <v>2</v>
      </c>
      <c r="AH56" s="3">
        <v>1</v>
      </c>
      <c r="AI56" t="s">
        <v>232</v>
      </c>
      <c r="AJ56" t="s">
        <v>232</v>
      </c>
      <c r="AK56" t="s">
        <v>232</v>
      </c>
      <c r="AL56" t="s">
        <v>232</v>
      </c>
      <c r="AM56">
        <f t="shared" si="37"/>
        <v>0</v>
      </c>
      <c r="AN56">
        <f t="shared" si="38"/>
        <v>0</v>
      </c>
      <c r="AO56">
        <f t="shared" si="39"/>
        <v>0</v>
      </c>
      <c r="AP56">
        <f t="shared" si="40"/>
        <v>1</v>
      </c>
      <c r="AQ56">
        <f t="shared" si="41"/>
        <v>0</v>
      </c>
      <c r="AR56">
        <f t="shared" si="42"/>
        <v>0</v>
      </c>
      <c r="AS56">
        <f t="shared" si="43"/>
        <v>0</v>
      </c>
      <c r="AU56" s="3" t="s">
        <v>175</v>
      </c>
      <c r="AV56" s="3" t="s">
        <v>39</v>
      </c>
      <c r="AW56" s="3">
        <f t="shared" si="44"/>
        <v>1</v>
      </c>
      <c r="AX56" s="3">
        <f t="shared" si="45"/>
        <v>0</v>
      </c>
      <c r="AY56" s="3">
        <f t="shared" si="46"/>
        <v>1</v>
      </c>
      <c r="AZ56" s="3">
        <f t="shared" si="47"/>
        <v>1</v>
      </c>
      <c r="BA56" s="3">
        <f t="shared" si="48"/>
        <v>0</v>
      </c>
      <c r="BB56" s="3">
        <f t="shared" si="49"/>
        <v>0</v>
      </c>
      <c r="BC56" s="3" t="s">
        <v>147</v>
      </c>
      <c r="BD56" s="3" t="s">
        <v>64</v>
      </c>
      <c r="BE56" s="3">
        <v>3</v>
      </c>
    </row>
    <row r="57" spans="1:57" ht="22.5" customHeight="1" x14ac:dyDescent="0.25">
      <c r="A57" s="3">
        <v>23</v>
      </c>
      <c r="B57" s="3" t="s">
        <v>55</v>
      </c>
      <c r="C57" s="3" t="s">
        <v>32</v>
      </c>
      <c r="D57" s="3" t="s">
        <v>79</v>
      </c>
      <c r="E57" s="3" t="s">
        <v>49</v>
      </c>
      <c r="F57" s="3">
        <v>1</v>
      </c>
      <c r="G57" s="3" t="s">
        <v>84</v>
      </c>
      <c r="H57" s="3">
        <v>0</v>
      </c>
      <c r="I57" s="3" t="s">
        <v>84</v>
      </c>
      <c r="J57" s="3" t="s">
        <v>36</v>
      </c>
      <c r="K57" s="3">
        <f t="shared" si="25"/>
        <v>1</v>
      </c>
      <c r="L57" s="3">
        <f t="shared" si="26"/>
        <v>1</v>
      </c>
      <c r="M57" s="3">
        <f t="shared" si="27"/>
        <v>1</v>
      </c>
      <c r="N57" s="3">
        <f t="shared" si="28"/>
        <v>1</v>
      </c>
      <c r="O57" s="3">
        <f t="shared" si="29"/>
        <v>0</v>
      </c>
      <c r="P57" s="3">
        <f ca="1">IF($R57="","",IF(SUM(Form_Responses3[[#This Row],[moti_makefriends]:[moti_friendsinfluence]])=0,1,IF(COUNTA(textsplit(R57,","))&gt;SUM(Form_Responses3[[#This Row],[moti_makefriends]:[moti_friendsinfluence]]),1,0)))</f>
        <v>0</v>
      </c>
      <c r="Q57" s="3"/>
      <c r="R57" s="3" t="s">
        <v>140</v>
      </c>
      <c r="S57" s="3">
        <f t="shared" si="30"/>
        <v>1</v>
      </c>
      <c r="T57" s="3">
        <f t="shared" si="31"/>
        <v>1</v>
      </c>
      <c r="U57" s="3">
        <f t="shared" si="32"/>
        <v>0</v>
      </c>
      <c r="V57" s="3">
        <f t="shared" si="33"/>
        <v>0</v>
      </c>
      <c r="W57" s="3">
        <f t="shared" si="34"/>
        <v>0</v>
      </c>
      <c r="X57" s="3">
        <f t="shared" si="35"/>
        <v>0</v>
      </c>
      <c r="Y57" s="3">
        <f t="shared" si="36"/>
        <v>0</v>
      </c>
      <c r="Z57" s="3"/>
      <c r="AA57" s="3" t="s">
        <v>70</v>
      </c>
      <c r="AB57" s="3">
        <v>5</v>
      </c>
      <c r="AC57" s="3">
        <v>5</v>
      </c>
      <c r="AD57" s="3">
        <v>5</v>
      </c>
      <c r="AE57" s="3">
        <v>5</v>
      </c>
      <c r="AF57" s="3">
        <v>5</v>
      </c>
      <c r="AG57" s="3">
        <v>5</v>
      </c>
      <c r="AH57" s="3">
        <v>5</v>
      </c>
      <c r="AI57" t="s">
        <v>232</v>
      </c>
      <c r="AJ57" t="s">
        <v>232</v>
      </c>
      <c r="AK57" t="s">
        <v>232</v>
      </c>
      <c r="AL57" t="s">
        <v>232</v>
      </c>
      <c r="AM57">
        <f t="shared" si="37"/>
        <v>0</v>
      </c>
      <c r="AN57">
        <f t="shared" si="38"/>
        <v>1</v>
      </c>
      <c r="AO57">
        <f t="shared" si="39"/>
        <v>0</v>
      </c>
      <c r="AP57">
        <f t="shared" si="40"/>
        <v>0</v>
      </c>
      <c r="AQ57">
        <f t="shared" si="41"/>
        <v>1</v>
      </c>
      <c r="AR57">
        <f t="shared" si="42"/>
        <v>0</v>
      </c>
      <c r="AS57">
        <f t="shared" si="43"/>
        <v>1</v>
      </c>
      <c r="AU57" s="3" t="s">
        <v>120</v>
      </c>
      <c r="AV57" s="3" t="s">
        <v>43</v>
      </c>
      <c r="AW57" s="3" t="s">
        <v>232</v>
      </c>
      <c r="AX57" s="3" t="s">
        <v>232</v>
      </c>
      <c r="AY57" s="3" t="s">
        <v>232</v>
      </c>
      <c r="AZ57" s="3" t="s">
        <v>232</v>
      </c>
      <c r="BA57" s="3" t="s">
        <v>232</v>
      </c>
      <c r="BB57" s="3" t="s">
        <v>232</v>
      </c>
      <c r="BC57" s="3" t="s">
        <v>168</v>
      </c>
      <c r="BD57" s="3" t="s">
        <v>64</v>
      </c>
    </row>
    <row r="58" spans="1:57" ht="22.5" customHeight="1" x14ac:dyDescent="0.25">
      <c r="A58" s="3">
        <v>23</v>
      </c>
      <c r="B58" s="3" t="s">
        <v>55</v>
      </c>
      <c r="C58" s="3" t="s">
        <v>124</v>
      </c>
      <c r="D58" s="3" t="s">
        <v>79</v>
      </c>
      <c r="E58" s="3" t="s">
        <v>49</v>
      </c>
      <c r="F58" s="3">
        <v>0</v>
      </c>
      <c r="G58" s="3">
        <v>0</v>
      </c>
      <c r="H58" s="3">
        <v>0</v>
      </c>
      <c r="I58" s="3">
        <v>0</v>
      </c>
      <c r="J58" s="3" t="s">
        <v>36</v>
      </c>
      <c r="K58" s="3">
        <f t="shared" si="25"/>
        <v>0</v>
      </c>
      <c r="L58" s="3">
        <f t="shared" si="26"/>
        <v>0</v>
      </c>
      <c r="M58" s="3">
        <f t="shared" si="27"/>
        <v>1</v>
      </c>
      <c r="N58" s="3">
        <f t="shared" si="28"/>
        <v>0</v>
      </c>
      <c r="O58" s="3">
        <f t="shared" si="29"/>
        <v>1</v>
      </c>
      <c r="P58" s="3">
        <f ca="1">IF($R58="","",IF(SUM(Form_Responses3[[#This Row],[moti_makefriends]:[moti_friendsinfluence]])=0,1,IF(COUNTA(textsplit(R58,","))&gt;SUM(Form_Responses3[[#This Row],[moti_makefriends]:[moti_friendsinfluence]]),1,0)))</f>
        <v>0</v>
      </c>
      <c r="Q58" s="3"/>
      <c r="R58" s="3" t="s">
        <v>37</v>
      </c>
      <c r="S58" s="3">
        <f t="shared" si="30"/>
        <v>1</v>
      </c>
      <c r="T58" s="3">
        <f t="shared" si="31"/>
        <v>1</v>
      </c>
      <c r="U58" s="3">
        <f t="shared" si="32"/>
        <v>0</v>
      </c>
      <c r="V58" s="3">
        <f t="shared" si="33"/>
        <v>1</v>
      </c>
      <c r="W58" s="3">
        <f t="shared" si="34"/>
        <v>0</v>
      </c>
      <c r="X58" s="3">
        <f t="shared" si="35"/>
        <v>0</v>
      </c>
      <c r="Y58" s="3">
        <f t="shared" si="36"/>
        <v>0</v>
      </c>
      <c r="Z58" s="3"/>
      <c r="AA58" s="3" t="s">
        <v>100</v>
      </c>
      <c r="AB58" s="3">
        <v>2</v>
      </c>
      <c r="AC58" s="3">
        <v>3</v>
      </c>
      <c r="AD58" s="3">
        <v>3</v>
      </c>
      <c r="AE58" s="3">
        <v>3</v>
      </c>
      <c r="AF58" s="3">
        <v>2</v>
      </c>
      <c r="AG58" s="3">
        <v>3</v>
      </c>
      <c r="AH58" s="3">
        <v>2</v>
      </c>
      <c r="AI58" t="s">
        <v>232</v>
      </c>
      <c r="AJ58" t="s">
        <v>232</v>
      </c>
      <c r="AK58" t="s">
        <v>232</v>
      </c>
      <c r="AL58" t="s">
        <v>232</v>
      </c>
      <c r="AM58">
        <f t="shared" si="37"/>
        <v>0</v>
      </c>
      <c r="AN58">
        <f t="shared" si="38"/>
        <v>1</v>
      </c>
      <c r="AO58">
        <f t="shared" si="39"/>
        <v>0</v>
      </c>
      <c r="AP58">
        <f t="shared" si="40"/>
        <v>1</v>
      </c>
      <c r="AQ58">
        <f t="shared" si="41"/>
        <v>0</v>
      </c>
      <c r="AR58">
        <f t="shared" si="42"/>
        <v>0</v>
      </c>
      <c r="AS58">
        <f t="shared" si="43"/>
        <v>1</v>
      </c>
      <c r="AU58" s="3" t="s">
        <v>62</v>
      </c>
      <c r="AV58" s="3" t="s">
        <v>82</v>
      </c>
      <c r="AW58" s="3">
        <f t="shared" si="44"/>
        <v>0</v>
      </c>
      <c r="AX58" s="3">
        <f t="shared" si="45"/>
        <v>0</v>
      </c>
      <c r="AY58" s="3">
        <f t="shared" si="46"/>
        <v>1</v>
      </c>
      <c r="AZ58" s="3">
        <f t="shared" si="47"/>
        <v>1</v>
      </c>
      <c r="BA58" s="3">
        <f t="shared" si="48"/>
        <v>0</v>
      </c>
      <c r="BB58" s="3">
        <f t="shared" si="49"/>
        <v>1</v>
      </c>
      <c r="BC58" s="3" t="s">
        <v>176</v>
      </c>
      <c r="BD58" s="3" t="s">
        <v>64</v>
      </c>
      <c r="BE58" s="3">
        <v>2</v>
      </c>
    </row>
    <row r="59" spans="1:57" ht="22.5" customHeight="1" x14ac:dyDescent="0.25">
      <c r="A59" s="3">
        <v>23</v>
      </c>
      <c r="B59" s="3" t="s">
        <v>55</v>
      </c>
      <c r="C59" s="3" t="s">
        <v>32</v>
      </c>
      <c r="D59" s="3" t="s">
        <v>79</v>
      </c>
      <c r="E59" s="3" t="s">
        <v>34</v>
      </c>
      <c r="F59" s="3">
        <v>2</v>
      </c>
      <c r="G59" s="3">
        <v>0</v>
      </c>
      <c r="H59" s="3">
        <v>1</v>
      </c>
      <c r="I59" s="3">
        <v>0</v>
      </c>
      <c r="J59" s="3" t="s">
        <v>36</v>
      </c>
      <c r="K59" s="3">
        <f t="shared" si="25"/>
        <v>1</v>
      </c>
      <c r="L59" s="3">
        <f t="shared" si="26"/>
        <v>1</v>
      </c>
      <c r="M59" s="3">
        <f t="shared" si="27"/>
        <v>1</v>
      </c>
      <c r="N59" s="3">
        <f t="shared" si="28"/>
        <v>1</v>
      </c>
      <c r="O59" s="3">
        <f t="shared" si="29"/>
        <v>1</v>
      </c>
      <c r="P59" s="3">
        <f ca="1">IF($R59="","",IF(SUM(Form_Responses3[[#This Row],[moti_makefriends]:[moti_friendsinfluence]])=0,1,IF(COUNTA(textsplit(R59,","))&gt;SUM(Form_Responses3[[#This Row],[moti_makefriends]:[moti_friendsinfluence]]),1,0)))</f>
        <v>0</v>
      </c>
      <c r="Q59" s="3"/>
      <c r="R59" s="3" t="s">
        <v>52</v>
      </c>
      <c r="S59" s="3">
        <f t="shared" si="30"/>
        <v>0</v>
      </c>
      <c r="T59" s="3">
        <f t="shared" si="31"/>
        <v>0</v>
      </c>
      <c r="U59" s="3">
        <f t="shared" si="32"/>
        <v>0</v>
      </c>
      <c r="V59" s="3">
        <f t="shared" si="33"/>
        <v>1</v>
      </c>
      <c r="W59" s="3">
        <f t="shared" si="34"/>
        <v>0</v>
      </c>
      <c r="X59" s="3">
        <f t="shared" si="35"/>
        <v>1</v>
      </c>
      <c r="Y59" s="3">
        <f t="shared" si="36"/>
        <v>0</v>
      </c>
      <c r="Z59" s="3"/>
      <c r="AA59" s="3" t="s">
        <v>96</v>
      </c>
      <c r="AB59" s="3">
        <v>4</v>
      </c>
      <c r="AC59" s="3">
        <v>3</v>
      </c>
      <c r="AD59" s="3">
        <v>3</v>
      </c>
      <c r="AE59" s="3">
        <v>2</v>
      </c>
      <c r="AF59" s="3">
        <v>4</v>
      </c>
      <c r="AG59" s="3">
        <v>1</v>
      </c>
      <c r="AH59" s="3">
        <v>2</v>
      </c>
      <c r="AI59" s="3" t="s">
        <v>43</v>
      </c>
      <c r="AJ59" s="3" t="s">
        <v>41</v>
      </c>
      <c r="AK59" s="3" t="s">
        <v>41</v>
      </c>
      <c r="AL59" s="3" t="s">
        <v>41</v>
      </c>
      <c r="AM59" s="3">
        <f t="shared" si="37"/>
        <v>1</v>
      </c>
      <c r="AN59" s="3">
        <f t="shared" si="38"/>
        <v>1</v>
      </c>
      <c r="AO59" s="3">
        <f t="shared" si="39"/>
        <v>0</v>
      </c>
      <c r="AP59" s="3">
        <f t="shared" si="40"/>
        <v>1</v>
      </c>
      <c r="AQ59" s="3">
        <f t="shared" si="41"/>
        <v>0</v>
      </c>
      <c r="AR59" s="3">
        <f t="shared" si="42"/>
        <v>1</v>
      </c>
      <c r="AS59" s="3">
        <f t="shared" si="43"/>
        <v>1</v>
      </c>
      <c r="AT59" s="3"/>
      <c r="AU59" s="3" t="s">
        <v>177</v>
      </c>
      <c r="AV59" s="3" t="s">
        <v>43</v>
      </c>
      <c r="AW59" s="3" t="s">
        <v>232</v>
      </c>
      <c r="AX59" s="3" t="s">
        <v>232</v>
      </c>
      <c r="AY59" s="3" t="s">
        <v>232</v>
      </c>
      <c r="AZ59" s="3" t="s">
        <v>232</v>
      </c>
      <c r="BA59" s="3" t="s">
        <v>232</v>
      </c>
      <c r="BB59" s="3" t="s">
        <v>232</v>
      </c>
      <c r="BC59" s="3" t="s">
        <v>178</v>
      </c>
      <c r="BD59" s="3" t="s">
        <v>45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Backup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2025-12-27T20:06:22Z</dcterms:modified>
</cp:coreProperties>
</file>